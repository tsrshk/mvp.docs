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ges" sheetId="2" state="visible" r:id="rId4"/>
    <sheet name="Epics" sheetId="3" state="visible" r:id="rId5"/>
    <sheet name="Metrics" sheetId="4" state="visible" r:id="rId6"/>
    <sheet name="Risks" sheetId="5" state="visible" r:id="rId7"/>
    <sheet name="Budg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Уникальный ID стадии. Формат STG-N. Используется для связей в листах Epics, Metrics, Risks.</t>
        </r>
      </text>
    </comment>
    <comment ref="B4" authorId="0">
      <text>
        <r>
          <rPr>
            <sz val="10"/>
            <rFont val="Arial"/>
            <family val="2"/>
          </rPr>
          <t xml:space="preserve">Короткое название стадии (1-3 слова).</t>
        </r>
      </text>
    </comment>
    <comment ref="C4" authorId="0">
      <text>
        <r>
          <rPr>
            <sz val="10"/>
            <rFont val="Arial"/>
            <family val="2"/>
          </rPr>
          <t xml:space="preserve">Основная цель стадии. Что должно быть достигнуто.</t>
        </r>
      </text>
    </comment>
    <comment ref="D4" authorId="0">
      <text>
        <r>
          <rPr>
            <sz val="10"/>
            <rFont val="Arial"/>
            <family val="2"/>
          </rPr>
          <t xml:space="preserve">Длительность в неделях при доступном времени 20 ч/нед основателя.</t>
        </r>
      </text>
    </comment>
    <comment ref="E4" authorId="0">
      <text>
        <r>
          <rPr>
            <sz val="10"/>
            <rFont val="Arial"/>
            <family val="2"/>
          </rPr>
          <t xml:space="preserve">Бюджет в USD на стадию. Включает инфраструктуру, парт-тайм оплату, внешние сервисы.</t>
        </r>
      </text>
    </comment>
    <comment ref="F4" authorId="0">
      <text>
        <r>
          <rPr>
            <sz val="10"/>
            <rFont val="Arial"/>
            <family val="2"/>
          </rPr>
          <t xml:space="preserve">Целевое количество клиентов к концу стадии.</t>
        </r>
      </text>
    </comment>
    <comment ref="G4" authorId="0">
      <text>
        <r>
          <rPr>
            <sz val="10"/>
            <rFont val="Arial"/>
            <family val="2"/>
          </rPr>
          <t xml:space="preserve">Главный валидируемый вопрос/гипотеза стадии.</t>
        </r>
      </text>
    </comment>
    <comment ref="H4" authorId="0">
      <text>
        <r>
          <rPr>
            <sz val="10"/>
            <rFont val="Arial"/>
            <family val="2"/>
          </rPr>
          <t xml:space="preserve">Статус: PLANNED / IN_PROGRESS / DONE / SKIPPED.</t>
        </r>
      </text>
    </comment>
    <comment ref="I4" authorId="0">
      <text>
        <r>
          <rPr>
            <sz val="10"/>
            <rFont val="Arial"/>
            <family val="2"/>
          </rPr>
          <t xml:space="preserve">Планируемая или фактическая дата начала. ISO формат YYYY-MM-DD или относительная (T+N недель).</t>
        </r>
      </text>
    </comment>
    <comment ref="J4" authorId="0">
      <text>
        <r>
          <rPr>
            <sz val="10"/>
            <rFont val="Arial"/>
            <family val="2"/>
          </rPr>
          <t xml:space="preserve">Оценочная дата окончания.</t>
        </r>
      </text>
    </comment>
    <comment ref="K4" authorId="0">
      <text>
        <r>
          <rPr>
            <sz val="10"/>
            <rFont val="Arial"/>
            <family val="2"/>
          </rPr>
          <t xml:space="preserve">Дополнительные замечания, контекст, риски.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Уникальный ID эпика. Формат EP-{stage_number}.{epic_number}. Например EP-1.3.</t>
        </r>
      </text>
    </comment>
    <comment ref="B4" authorId="0">
      <text>
        <r>
          <rPr>
            <sz val="10"/>
            <rFont val="Arial"/>
            <family val="2"/>
          </rPr>
          <t xml:space="preserve">Foreign key на Stages.Stage_ID. Один эпик принадлежит одной стадии.</t>
        </r>
      </text>
    </comment>
    <comment ref="C4" authorId="0">
      <text>
        <r>
          <rPr>
            <sz val="10"/>
            <rFont val="Arial"/>
            <family val="2"/>
          </rPr>
          <t xml:space="preserve">Короткое название эпика (3-7 слов).</t>
        </r>
      </text>
    </comment>
    <comment ref="D4" authorId="0">
      <text>
        <r>
          <rPr>
            <sz val="10"/>
            <rFont val="Arial"/>
            <family val="2"/>
          </rPr>
          <t xml:space="preserve">Что делает эпик с точки зрения пользователя ИЛИ техническое описание для инженерных эпиков.</t>
        </r>
      </text>
    </comment>
    <comment ref="E4" authorId="0">
      <text>
        <r>
          <rPr>
            <sz val="10"/>
            <rFont val="Arial"/>
            <family val="2"/>
          </rPr>
          <t xml:space="preserve">MUST = блокирует завершение стадии. SHOULD = важно но не блокер. NICE = если будет время.</t>
        </r>
      </text>
    </comment>
    <comment ref="F4" authorId="0">
      <text>
        <r>
          <rPr>
            <sz val="10"/>
            <rFont val="Arial"/>
            <family val="2"/>
          </rPr>
          <t xml:space="preserve">Оценка часов Frontend разработки. Включает UI, интеграции, тесты UI.</t>
        </r>
      </text>
    </comment>
    <comment ref="G4" authorId="0">
      <text>
        <r>
          <rPr>
            <sz val="10"/>
            <rFont val="Arial"/>
            <family val="2"/>
          </rPr>
          <t xml:space="preserve">Оценка часов Backend разработки. Включает API, DB-схему, бизнес-логику, тесты BE.</t>
        </r>
      </text>
    </comment>
    <comment ref="H4" authorId="0">
      <text>
        <r>
          <rPr>
            <sz val="10"/>
            <rFont val="Arial"/>
            <family val="2"/>
          </rPr>
          <t xml:space="preserve">ФОРМУЛА: =F+G. Total часов на эпик.</t>
        </r>
      </text>
    </comment>
    <comment ref="I4" authorId="0">
      <text>
        <r>
          <rPr>
            <sz val="10"/>
            <rFont val="Arial"/>
            <family val="2"/>
          </rPr>
          <t xml:space="preserve">Comma-separated список Epic_ID, от которых зависит. Пусто = можно начинать в любой момент стадии.</t>
        </r>
      </text>
    </comment>
    <comment ref="J4" authorId="0">
      <text>
        <r>
          <rPr>
            <sz val="10"/>
            <rFont val="Arial"/>
            <family val="2"/>
          </rPr>
          <t xml:space="preserve">Критерии приёмки. Когда эпик считается готовым. 2-4 пункта.</t>
        </r>
      </text>
    </comment>
    <comment ref="K4" authorId="0">
      <text>
        <r>
          <rPr>
            <sz val="10"/>
            <rFont val="Arial"/>
            <family val="2"/>
          </rPr>
          <t xml:space="preserve">TODO / IN_PROGRESS / BLOCKED / DONE / CANCELLED. Default TODO.</t>
        </r>
      </text>
    </comment>
    <comment ref="L4" authorId="0">
      <text>
        <r>
          <rPr>
            <sz val="10"/>
            <rFont val="Arial"/>
            <family val="2"/>
          </rPr>
          <t xml:space="preserve">Кто выполняет: FOUNDER / JAVA_BE / QA / EXT. Может быть несколько через запятую.</t>
        </r>
      </text>
    </comment>
    <comment ref="M4" authorId="0">
      <text>
        <r>
          <rPr>
            <sz val="10"/>
            <rFont val="Arial"/>
            <family val="2"/>
          </rPr>
          <t xml:space="preserve">Технические замечания, риски, открытые вопросы по эпику.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Уникальный ID метрики. Формат MTR-{stage}.{num}.</t>
        </r>
      </text>
    </comment>
    <comment ref="B4" authorId="0">
      <text>
        <r>
          <rPr>
            <sz val="10"/>
            <rFont val="Arial"/>
            <family val="2"/>
          </rPr>
          <t xml:space="preserve">Foreign key на Stages.Stage_ID.</t>
        </r>
      </text>
    </comment>
    <comment ref="C4" authorId="0">
      <text>
        <r>
          <rPr>
            <sz val="10"/>
            <rFont val="Arial"/>
            <family val="2"/>
          </rPr>
          <t xml:space="preserve">Что измеряем.</t>
        </r>
      </text>
    </comment>
    <comment ref="D4" authorId="0">
      <text>
        <r>
          <rPr>
            <sz val="10"/>
            <rFont val="Arial"/>
            <family val="2"/>
          </rPr>
          <t xml:space="preserve">Целевое значение для прохождения gate. Формат зависит от метрики.</t>
        </r>
      </text>
    </comment>
    <comment ref="E4" authorId="0">
      <text>
        <r>
          <rPr>
            <sz val="10"/>
            <rFont val="Arial"/>
            <family val="2"/>
          </rPr>
          <t xml:space="preserve">GATE = условие перехода к следующей стадии. KILL = условие остановки проекта. KPI = метрика для отслеживания (не блокирующая).</t>
        </r>
      </text>
    </comment>
    <comment ref="F4" authorId="0">
      <text>
        <r>
          <rPr>
            <sz val="10"/>
            <rFont val="Arial"/>
            <family val="2"/>
          </rPr>
          <t xml:space="preserve">Как именно измеряется: источник данных, способ расчёта.</t>
        </r>
      </text>
    </comment>
    <comment ref="G4" authorId="0">
      <text>
        <r>
          <rPr>
            <sz val="10"/>
            <rFont val="Arial"/>
            <family val="2"/>
          </rPr>
          <t xml:space="preserve">Текущее значение. Обновляется по ходу выполнения стадии.</t>
        </r>
      </text>
    </comment>
    <comment ref="H4" authorId="0">
      <text>
        <r>
          <rPr>
            <sz val="10"/>
            <rFont val="Arial"/>
            <family val="2"/>
          </rPr>
          <t xml:space="preserve">Контекст, объяснение, ограничения.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Уникальный ID риска. Формат RSK-NNN.</t>
        </r>
      </text>
    </comment>
    <comment ref="B4" authorId="0">
      <text>
        <r>
          <rPr>
            <sz val="10"/>
            <rFont val="Arial"/>
            <family val="2"/>
          </rPr>
          <t xml:space="preserve">Стадии, которые риск затрагивает. Может быть несколько: 'STG-1, STG-2'.</t>
        </r>
      </text>
    </comment>
    <comment ref="C4" authorId="0">
      <text>
        <r>
          <rPr>
            <sz val="10"/>
            <rFont val="Arial"/>
            <family val="2"/>
          </rPr>
          <t xml:space="preserve">Категория: Technical / Market / Founder / Financial / Legal / Operational.</t>
        </r>
      </text>
    </comment>
    <comment ref="D4" authorId="0">
      <text>
        <r>
          <rPr>
            <sz val="10"/>
            <rFont val="Arial"/>
            <family val="2"/>
          </rPr>
          <t xml:space="preserve">Описание риска.</t>
        </r>
      </text>
    </comment>
    <comment ref="E4" authorId="0">
      <text>
        <r>
          <rPr>
            <sz val="10"/>
            <rFont val="Arial"/>
            <family val="2"/>
          </rPr>
          <t xml:space="preserve">Severity: HIGH / MEDIUM / LOW. Насколько плохо если случится.</t>
        </r>
      </text>
    </comment>
    <comment ref="F4" authorId="0">
      <text>
        <r>
          <rPr>
            <sz val="10"/>
            <rFont val="Arial"/>
            <family val="2"/>
          </rPr>
          <t xml:space="preserve">Probability: HIGH / MEDIUM / LOW. Вероятность реализации.</t>
        </r>
      </text>
    </comment>
    <comment ref="G4" authorId="0">
      <text>
        <r>
          <rPr>
            <sz val="10"/>
            <rFont val="Arial"/>
            <family val="2"/>
          </rPr>
          <t xml:space="preserve">ФОРМУЛА: Score = Severity × Probability. HIGH=3, MEDIUM=2, LOW=1. Max=9.</t>
        </r>
      </text>
    </comment>
    <comment ref="H4" authorId="0">
      <text>
        <r>
          <rPr>
            <sz val="10"/>
            <rFont val="Arial"/>
            <family val="2"/>
          </rPr>
          <t xml:space="preserve">Конкретная стратегия снижения риска.</t>
        </r>
      </text>
    </comment>
    <comment ref="I4" authorId="0">
      <text>
        <r>
          <rPr>
            <sz val="10"/>
            <rFont val="Arial"/>
            <family val="2"/>
          </rPr>
          <t xml:space="preserve">ACTIVE / MITIGATED / MATERIALIZED / CLOSED.</t>
        </r>
      </text>
    </comment>
  </commentList>
</comments>
</file>

<file path=xl/sharedStrings.xml><?xml version="1.0" encoding="utf-8"?>
<sst xmlns="http://schemas.openxmlformats.org/spreadsheetml/2006/main" count="1086" uniqueCount="671">
  <si>
    <t xml:space="preserve">LOCAL OS · Product Roadmap</t>
  </si>
  <si>
    <t xml:space="preserve">Self-documenting roadmap document · v1.0 · May 2026</t>
  </si>
  <si>
    <t xml:space="preserve">МЕТАДАННЫЕ ДОКУМЕНТА</t>
  </si>
  <si>
    <t xml:space="preserve">Продукт</t>
  </si>
  <si>
    <t xml:space="preserve">Local OS — Purchasing &amp; operations system for small HoReCa</t>
  </si>
  <si>
    <t xml:space="preserve">Тип документа</t>
  </si>
  <si>
    <t xml:space="preserve">Product roadmap with epic-level breakdown and resource estimates</t>
  </si>
  <si>
    <t xml:space="preserve">Версия</t>
  </si>
  <si>
    <t xml:space="preserve">1.0</t>
  </si>
  <si>
    <t xml:space="preserve">Дата создания</t>
  </si>
  <si>
    <t xml:space="preserve">Май 2026</t>
  </si>
  <si>
    <t xml:space="preserve">Целевая аудитория</t>
  </si>
  <si>
    <t xml:space="preserve">Founder (human) + AI-системы для анализа требований и планирования разработки</t>
  </si>
  <si>
    <t xml:space="preserve">Стадия проекта</t>
  </si>
  <si>
    <t xml:space="preserve">Pre-MVP · валидация боли</t>
  </si>
  <si>
    <t xml:space="preserve">Подход</t>
  </si>
  <si>
    <t xml:space="preserve">Узкий и глубокий MVP, focus на закупочном ассистенте для Poster POS</t>
  </si>
  <si>
    <t xml:space="preserve">Команда</t>
  </si>
  <si>
    <t xml:space="preserve">Founder (FE + продукт), Java BE на парт-тайм, QA на парт-тайм</t>
  </si>
  <si>
    <t xml:space="preserve">Доступное время</t>
  </si>
  <si>
    <t xml:space="preserve">20 часов в неделю (соло-founder)</t>
  </si>
  <si>
    <t xml:space="preserve">Стартовый бюджет</t>
  </si>
  <si>
    <t xml:space="preserve">до $5,000 (bootstrap)</t>
  </si>
  <si>
    <t xml:space="preserve">СТРУКТУРА ДОКУМЕНТА</t>
  </si>
  <si>
    <t xml:space="preserve">README</t>
  </si>
  <si>
    <t xml:space="preserve">Этот лист. Метаданные, глоссарий, инструкция по чтению.</t>
  </si>
  <si>
    <t xml:space="preserve">Stages</t>
  </si>
  <si>
    <t xml:space="preserve">6 высокоуровневых стадий разработки. Каждая — самостоятельный продукт с gate-критериями.</t>
  </si>
  <si>
    <t xml:space="preserve">Epics</t>
  </si>
  <si>
    <t xml:space="preserve">Декомпозиция стадий на эпики (модули) с оценками часов FE/BE и зависимостями.</t>
  </si>
  <si>
    <t xml:space="preserve">Metrics</t>
  </si>
  <si>
    <t xml:space="preserve">KPI и gate-критерии по стадиям. Что должно быть достигнуто чтобы перейти к следующей.</t>
  </si>
  <si>
    <t xml:space="preserve">Risks</t>
  </si>
  <si>
    <t xml:space="preserve">Реестр рисков с severity/probability/митигацией. Привязан к стадиям.</t>
  </si>
  <si>
    <t xml:space="preserve">Budget</t>
  </si>
  <si>
    <t xml:space="preserve">Финансовая модель: расходы по стадиям, источники, кумулятив.</t>
  </si>
  <si>
    <t xml:space="preserve">ГЛОССАРИЙ ТЕРМИНОВ</t>
  </si>
  <si>
    <t xml:space="preserve">Stage / Стадия</t>
  </si>
  <si>
    <t xml:space="preserve">Крупный блок развития продукта (3-6 мес). Завершается gate-критерием и решением 'go/no-go' для следующей стадии. Каждая стадия даёт самостоятельный жизнеспособный продукт.</t>
  </si>
  <si>
    <t xml:space="preserve">Epic / Эпик</t>
  </si>
  <si>
    <t xml:space="preserve">Модуль внутри стадии. Логически цельная фича или техническая компонента. Имеет оценку в часах FE и BE отдельно.</t>
  </si>
  <si>
    <t xml:space="preserve">Gate-criterion / Gate-критерий</t>
  </si>
  <si>
    <t xml:space="preserve">Метрика, которая должна быть достигнута для перехода к следующей стадии. Если не достигнута — остановка или пересмотр.</t>
  </si>
  <si>
    <t xml:space="preserve">Kill-criterion / Kill-критерий</t>
  </si>
  <si>
    <t xml:space="preserve">Метрика, ниже которой проект закрывается без сожалений. Публичное обязательство, защищающее от sunk cost fallacy.</t>
  </si>
  <si>
    <t xml:space="preserve">MVP</t>
  </si>
  <si>
    <t xml:space="preserve">Minimum Viable Product. Здесь = стадия 1. Минимальный продукт, который реально решает боль и за который готовы платить.</t>
  </si>
  <si>
    <t xml:space="preserve">PMF</t>
  </si>
  <si>
    <t xml:space="preserve">Product-Market Fit. Здесь = критерий стадии 2. Retention ≥ 80% и измеримая ценность.</t>
  </si>
  <si>
    <t xml:space="preserve">Customer Zero</t>
  </si>
  <si>
    <t xml:space="preserve">Собственная кофейня founder'а как первый пользователь продукта. Уникальное преимущество для быстрого фидбек-цикла.</t>
  </si>
  <si>
    <t xml:space="preserve">POS</t>
  </si>
  <si>
    <t xml:space="preserve">Point of Sale. Касса/учётная система кофейни. Poster — стартовая интеграция, iiko — следующая.</t>
  </si>
  <si>
    <t xml:space="preserve">SKU</t>
  </si>
  <si>
    <t xml:space="preserve">Stock Keeping Unit. Единица учёта ингредиента (например, 'молоко овсяное 1л', 'зерно эфиопия 1кг').</t>
  </si>
  <si>
    <t xml:space="preserve">Draft-order / Draft-заказ</t>
  </si>
  <si>
    <t xml:space="preserve">Черновик заказа поставщику, сформированный системой. Требует подтверждения человека перед отправкой.</t>
  </si>
  <si>
    <t xml:space="preserve">Operational lock-in</t>
  </si>
  <si>
    <t xml:space="preserve">Тип защищённости. Клиенту становится больно уходить, потому что продукт встроен в ежедневные операции.</t>
  </si>
  <si>
    <t xml:space="preserve">Marketplace flywheel</t>
  </si>
  <si>
    <t xml:space="preserve">Двусторонний network effect: больше клиентов → больше поставщиков → больше выбора → больше клиентов.</t>
  </si>
  <si>
    <t xml:space="preserve">FE</t>
  </si>
  <si>
    <t xml:space="preserve">Frontend. Реализуется основателем.</t>
  </si>
  <si>
    <t xml:space="preserve">BE</t>
  </si>
  <si>
    <t xml:space="preserve">Backend. Реализуется Java-разработчиком на парт-тайм.</t>
  </si>
  <si>
    <t xml:space="preserve">MRR</t>
  </si>
  <si>
    <t xml:space="preserve">Monthly Recurring Revenue. Ежемесячная регулярная выручка от подписок.</t>
  </si>
  <si>
    <t xml:space="preserve">ARR</t>
  </si>
  <si>
    <t xml:space="preserve">Annual Recurring Revenue. MRR × 12.</t>
  </si>
  <si>
    <t xml:space="preserve">Churn</t>
  </si>
  <si>
    <t xml:space="preserve">Отток клиентов в процентах за период (месяц или год).</t>
  </si>
  <si>
    <t xml:space="preserve">CAC</t>
  </si>
  <si>
    <t xml:space="preserve">Customer Acquisition Cost. Стоимость привлечения одного клиента.</t>
  </si>
  <si>
    <t xml:space="preserve">LTV</t>
  </si>
  <si>
    <t xml:space="preserve">Lifetime Value. Совокупный доход с одного клиента за всё время использования.</t>
  </si>
  <si>
    <t xml:space="preserve">ARPU</t>
  </si>
  <si>
    <t xml:space="preserve">Average Revenue Per User. Средняя выручка с одного клиента в месяц.</t>
  </si>
  <si>
    <t xml:space="preserve">Human-in-the-loop</t>
  </si>
  <si>
    <t xml:space="preserve">Принцип проектирования: критические решения (отправка заказа) всегда требуют подтверждения человека.</t>
  </si>
  <si>
    <t xml:space="preserve">Severity (риска)</t>
  </si>
  <si>
    <t xml:space="preserve">Серьёзность последствий: High / Medium / Low.</t>
  </si>
  <si>
    <t xml:space="preserve">Probability (риска)</t>
  </si>
  <si>
    <t xml:space="preserve">Вероятность реализации риска: High / Medium / Low.</t>
  </si>
  <si>
    <t xml:space="preserve">ИНСТРУКЦИИ ДЛЯ ИИ-СИСТЕМ</t>
  </si>
  <si>
    <t xml:space="preserve">ID convention</t>
  </si>
  <si>
    <t xml:space="preserve">Stage IDs: STG-1 ... STG-6. Epic IDs: EP-{stage_num}.{epic_num} (например EP-1.3 — третий эпик первой стадии). Risk IDs: RSK-001...</t>
  </si>
  <si>
    <t xml:space="preserve">Связи между листами</t>
  </si>
  <si>
    <t xml:space="preserve">Лист Epics ссылается на Stages через колонку 'Stage_ID'. Лист Risks — через 'Stage_IDs' (может быть несколько). Лист Metrics — через 'Stage_ID'.</t>
  </si>
  <si>
    <t xml:space="preserve">Оценки часов</t>
  </si>
  <si>
    <t xml:space="preserve">Колонки 'Hours_FE' и 'Hours_BE' — оценки в человеко-часах. Total в эпике = FE + BE. Включают разработку, тестирование, баг-фиксы. НЕ включают планирование и customer interviews.</t>
  </si>
  <si>
    <t xml:space="preserve">Зависимости</t>
  </si>
  <si>
    <t xml:space="preserve">Колонка 'Depends_On' в Epics содержит ID эпиков, которые должны быть завершены до начала. Пустая = можно начинать в любой момент стадии.</t>
  </si>
  <si>
    <t xml:space="preserve">Приоритет</t>
  </si>
  <si>
    <t xml:space="preserve">Колонка 'Priority': MUST (без неё стадия не закроется), SHOULD (важно но не блокирует), NICE (если останется время).</t>
  </si>
  <si>
    <t xml:space="preserve">Статус</t>
  </si>
  <si>
    <t xml:space="preserve">Колонка 'Status': TODO, IN_PROGRESS, BLOCKED, DONE, CANCELLED. Default = TODO. При разбиении на задачи в трекере — синхронизировать.</t>
  </si>
  <si>
    <t xml:space="preserve">Bootstrap правила</t>
  </si>
  <si>
    <t xml:space="preserve">Бюджет каждой стадии может быть меньше предыдущей выручки. Стадии 1-2 финансируются стартовым капиталом. Стадии 3+ должны самоокупаться или закрываться.</t>
  </si>
  <si>
    <t xml:space="preserve">Дата начала</t>
  </si>
  <si>
    <t xml:space="preserve">Стадия 0 = T0 (старт). Все 'недели' в Stages.Duration_weeks отсчитываются от завершения предыдущей стадии.</t>
  </si>
  <si>
    <t xml:space="preserve">Stages — высокоуровневая карта</t>
  </si>
  <si>
    <t xml:space="preserve">Шесть стадий развития. Каждая — самостоятельный продукт с gate-критериями. Stage_ID используется для связей в других листах.</t>
  </si>
  <si>
    <t xml:space="preserve">Stage_ID</t>
  </si>
  <si>
    <t xml:space="preserve">Name</t>
  </si>
  <si>
    <t xml:space="preserve">Goal</t>
  </si>
  <si>
    <t xml:space="preserve">Duration_weeks</t>
  </si>
  <si>
    <t xml:space="preserve">Budget_USD</t>
  </si>
  <si>
    <t xml:space="preserve">Customers_End</t>
  </si>
  <si>
    <t xml:space="preserve">Validates</t>
  </si>
  <si>
    <t xml:space="preserve">Status</t>
  </si>
  <si>
    <t xml:space="preserve">Start_Date</t>
  </si>
  <si>
    <t xml:space="preserve">End_Date_Est</t>
  </si>
  <si>
    <t xml:space="preserve">Notes</t>
  </si>
  <si>
    <t xml:space="preserve">STG-0</t>
  </si>
  <si>
    <t xml:space="preserve">Pre-development</t>
  </si>
  <si>
    <t xml:space="preserve">Валидация боли через customer interviews до написания первой строки кода. Подтвердить что закупки — реальная и срочная проблема.</t>
  </si>
  <si>
    <t xml:space="preserve">Существует ли вообще боль и достаточна ли она для платного продукта</t>
  </si>
  <si>
    <t xml:space="preserve">PLANNED</t>
  </si>
  <si>
    <t xml:space="preserve">T+0</t>
  </si>
  <si>
    <t xml:space="preserve">T+2 нед</t>
  </si>
  <si>
    <t xml:space="preserve">Без этой стадии нельзя начинать разработку. Цена ошибки здесь — потеря 4-6 месяцев на ненужном продукте.</t>
  </si>
  <si>
    <t xml:space="preserve">STG-1</t>
  </si>
  <si>
    <t xml:space="preserve">MVP · закупочный ассистент</t>
  </si>
  <si>
    <t xml:space="preserve">Узкий и глубокий MVP: один сценарий (формирование draft-заказов для Poster) высокого качества. Запуск на Customer Zero + 3 пилотах.</t>
  </si>
  <si>
    <t xml:space="preserve">Решает ли продукт боль и готовы ли клиенты платить</t>
  </si>
  <si>
    <t xml:space="preserve">T+16 нед</t>
  </si>
  <si>
    <t xml:space="preserve">Принцип: NO MAGIC. Только базовая математика, никакой AI/ML на этой стадии. Все умные фичи — в STG-3.</t>
  </si>
  <si>
    <t xml:space="preserve">STG-2</t>
  </si>
  <si>
    <t xml:space="preserve">Product-Market Fit</t>
  </si>
  <si>
    <t xml:space="preserve">Превратить 3 пилотов в 10-15 платящих клиентов. Подтвердить retention и unit-экономику. Это самая критичная стадия — здесь умирает большинство SaaS.</t>
  </si>
  <si>
    <t xml:space="preserve">Retention ≥ 80% и MRR ≥ $1K на 13 клиентах</t>
  </si>
  <si>
    <t xml:space="preserve">T+28 нед</t>
  </si>
  <si>
    <t xml:space="preserve">Главный риск: переход от инженерной работы к customer success/продажам. Многие технари здесь сдуваются.</t>
  </si>
  <si>
    <t xml:space="preserve">STG-3</t>
  </si>
  <si>
    <t xml:space="preserve">Scaling · контекст и автоматизация</t>
  </si>
  <si>
    <t xml:space="preserve">Локальный контекст (погода, события), iiko-коннектор, web-app, поддержка мини-сетей. Self-service до точки, где основатель тратит ≤4 ч/нед на поддержку.</t>
  </si>
  <si>
    <t xml:space="preserve">Можем ли масштабироваться без линейного роста времени основателя</t>
  </si>
  <si>
    <t xml:space="preserve">T+44 нед</t>
  </si>
  <si>
    <t xml:space="preserve">К концу стадии нужно нанять customer success парт-тайм ($600/мес) — иначе захлёбываемся.</t>
  </si>
  <si>
    <t xml:space="preserve">STG-4</t>
  </si>
  <si>
    <t xml:space="preserve">Network effects · бенчмарк и каталог</t>
  </si>
  <si>
    <t xml:space="preserve">Включение data network effect: бенчмаркинг похожих точек, каталог цен, первые партнёрства с поставщиками. Tier $199/мес.</t>
  </si>
  <si>
    <t xml:space="preserve">Реально ли работает data network effect при N≥30</t>
  </si>
  <si>
    <t xml:space="preserve">T+64 нед</t>
  </si>
  <si>
    <t xml:space="preserve">Первая стадия, где бюджет ($8.6K) превышает стартовый. Покрывается из MRR ($12K к концу).</t>
  </si>
  <si>
    <t xml:space="preserve">STG-5</t>
  </si>
  <si>
    <t xml:space="preserve">Marketplace · поставщики on-platform</t>
  </si>
  <si>
    <t xml:space="preserve">Двусторонний рынок: поставщики регистрируются с прайсами и остатками. Rev-share 2-3% от GMV. Embedded purchasing.</t>
  </si>
  <si>
    <t xml:space="preserve">Работает ли двусторонняя экономика и приходят ли поставщики сами</t>
  </si>
  <si>
    <t xml:space="preserve">T+88 нед</t>
  </si>
  <si>
    <t xml:space="preserve">План на 18+ мес вперёд — это черновик. Может потребовать внешнее финансирование (small angel или venture debt).</t>
  </si>
  <si>
    <t xml:space="preserve">Epics — детальная разбивка по модулям</t>
  </si>
  <si>
    <t xml:space="preserve">Каждый эпик — атомарный модуль или фича. ID формат EP-{stage}.{num}. Часы FE — твоя работа (frontend, продукт). Часы BE — Java-партнёр. Сумма для верификации — в Hours_Total (формула).</t>
  </si>
  <si>
    <t xml:space="preserve">Epic_ID</t>
  </si>
  <si>
    <t xml:space="preserve">Description</t>
  </si>
  <si>
    <t xml:space="preserve">Priority</t>
  </si>
  <si>
    <t xml:space="preserve">Hours_FE</t>
  </si>
  <si>
    <t xml:space="preserve">Hours_BE</t>
  </si>
  <si>
    <t xml:space="preserve">Hours_Total</t>
  </si>
  <si>
    <t xml:space="preserve">Depends_On</t>
  </si>
  <si>
    <t xml:space="preserve">Acceptance_Criteria</t>
  </si>
  <si>
    <t xml:space="preserve">Owner</t>
  </si>
  <si>
    <t xml:space="preserve">EP-0.1</t>
  </si>
  <si>
    <t xml:space="preserve">Customer interview скрипт</t>
  </si>
  <si>
    <t xml:space="preserve">Разработать структурированный опросник на 20 вопросов: текущий процесс закупок, время, ошибки, цена ошибки, willingness-to-pay.</t>
  </si>
  <si>
    <t xml:space="preserve">MUST</t>
  </si>
  <si>
    <t xml:space="preserve">20 вопросов в 4 блоках: процесс / боль / решения / готовность платить. Скрипт протестирован на одном пилотном интервью.</t>
  </si>
  <si>
    <t xml:space="preserve">TODO</t>
  </si>
  <si>
    <t xml:space="preserve">FOUNDER</t>
  </si>
  <si>
    <t xml:space="preserve">Самый важный артефакт стадии 0. От его качества зависят все следующие решения.</t>
  </si>
  <si>
    <t xml:space="preserve">EP-0.2</t>
  </si>
  <si>
    <t xml:space="preserve">Поиск кандидатов на интервью</t>
  </si>
  <si>
    <t xml:space="preserve">Составить список 25 кандидатов из личной сети, чатов сообществ кофеен, локальных групп. Связаться, договориться о 25-мин звонке.</t>
  </si>
  <si>
    <t xml:space="preserve">Подтверждены 18+ встреч (с учётом отказов попадаем в 15 проведённых).</t>
  </si>
  <si>
    <t xml:space="preserve">Не использовать платные базы — нужны качественные лиды, не случайные.</t>
  </si>
  <si>
    <t xml:space="preserve">EP-0.3</t>
  </si>
  <si>
    <t xml:space="preserve">Проведение 15 интервью</t>
  </si>
  <si>
    <t xml:space="preserve">Провести 15 25-минутных структурированных интервью. Записать (с разрешения) или вести подробный конспект. Минимизировать leading questions.</t>
  </si>
  <si>
    <t xml:space="preserve">15 проведённых интервью с заметками. Saturation: последние 3 интервью не дают новой информации = достаточно.</t>
  </si>
  <si>
    <t xml:space="preserve">Главная ошибка — продавать идею вместо слушать. Скрипт защищает от этого.</t>
  </si>
  <si>
    <t xml:space="preserve">EP-0.4</t>
  </si>
  <si>
    <t xml:space="preserve">Анализ и saturation-отчёт</t>
  </si>
  <si>
    <t xml:space="preserve">Свести данные интервью в 3 карты: карта болей, карта текущих решений, карта WTP. Принять go/no-go решение по STG-1.</t>
  </si>
  <si>
    <t xml:space="preserve">Отчёт на 3-5 страниц с цифрами. Явный gate-checklist пройден или нет. Решение зафиксировано письменно.</t>
  </si>
  <si>
    <t xml:space="preserve">Если gate не пройден — НЕ начинать STG-1. Лучше pivot или kill, чем строить 4 месяца впустую.</t>
  </si>
  <si>
    <t xml:space="preserve">EP-1.1</t>
  </si>
  <si>
    <t xml:space="preserve">OAuth + регистрация (Poster)</t>
  </si>
  <si>
    <t xml:space="preserve">Авторизация через Poster App Marketplace OAuth. Создание учётной записи Local OS, привязка к Poster account.</t>
  </si>
  <si>
    <t xml:space="preserve">Пользователь может за 1 клик авторизоваться через Poster и получить доступ к своему дашборду.</t>
  </si>
  <si>
    <t xml:space="preserve">FOUNDER, JAVA_BE</t>
  </si>
  <si>
    <t xml:space="preserve">Poster Dev Portal требует одобрения приложения — подать заявку на нед 1.</t>
  </si>
  <si>
    <t xml:space="preserve">EP-1.2</t>
  </si>
  <si>
    <t xml:space="preserve">POS-коннектор: sync продаж и остатков</t>
  </si>
  <si>
    <t xml:space="preserve">Бэкенд-сервис, который через Poster API регулярно (раз в час) подтягивает продажи и текущие остатки. Хранит в нашей БД.</t>
  </si>
  <si>
    <t xml:space="preserve">Sync работает стабильно 7 дней без сбоев. Данные совпадают с Poster admin panel.</t>
  </si>
  <si>
    <t xml:space="preserve">JAVA_BE</t>
  </si>
  <si>
    <t xml:space="preserve">Главный технический риск стадии. Rate limits Poster — изучить заранее.</t>
  </si>
  <si>
    <t xml:space="preserve">EP-1.3</t>
  </si>
  <si>
    <t xml:space="preserve">Справочник SKU (ингредиенты)</t>
  </si>
  <si>
    <t xml:space="preserve">UI для ведения списка ингредиентов с единицами измерения. Импорт начального списка из Poster (если есть) или ручной ввод.</t>
  </si>
  <si>
    <t xml:space="preserve">Можно добавить, отредактировать, удалить SKU. Единицы измерения: кг, г, л, мл, шт. Валидация.</t>
  </si>
  <si>
    <t xml:space="preserve">Самая частая ошибка пользователей — неверные единицы. Нужны hints в UI.</t>
  </si>
  <si>
    <t xml:space="preserve">EP-1.4</t>
  </si>
  <si>
    <t xml:space="preserve">Редактор рецептуры</t>
  </si>
  <si>
    <t xml:space="preserve">UI: блюдо в меню → ингредиенты с нормами расхода. Например: 1 капучино = 200мл молока + 18г зерна + 1 стакан.</t>
  </si>
  <si>
    <t xml:space="preserve">Можно настроить рецептуру для всех ключевых блюд. Расчёт расхода по рецептуре работает корректно.</t>
  </si>
  <si>
    <t xml:space="preserve">Опасная зона — клиенты могут забить мусор. Нужны разумные дефолты + валидация.</t>
  </si>
  <si>
    <t xml:space="preserve">EP-1.5</t>
  </si>
  <si>
    <t xml:space="preserve">Справочник поставщиков</t>
  </si>
  <si>
    <t xml:space="preserve">Каталог поставщиков клиента: кто, какие SKU поставляет, минимальные партии, способ контакта (TG/email), время доставки.</t>
  </si>
  <si>
    <t xml:space="preserve">Можно завести поставщиков, привязать к ним SKU. Каждый SKU должен иметь хотя бы одного поставщика.</t>
  </si>
  <si>
    <t xml:space="preserve">Mapping SKU → поставщик может быть многие-ко-многим (молоко покупают у двух конкурентов).</t>
  </si>
  <si>
    <t xml:space="preserve">EP-1.6</t>
  </si>
  <si>
    <t xml:space="preserve">Движок прогноза потребности</t>
  </si>
  <si>
    <t xml:space="preserve">Алгоритм: расход за последние 4 недели → средний расход по дню недели → прогноз на 7 дней вперёд. Без AI, без погоды.</t>
  </si>
  <si>
    <t xml:space="preserve">Прогноз на ближайшие 7 дней с разбивкой по SKU. Точность ±15% на тестовых данных Customer Zero.</t>
  </si>
  <si>
    <t xml:space="preserve">Простая статистика, не ML. Усложнять будем в STG-3.</t>
  </si>
  <si>
    <t xml:space="preserve">EP-1.7</t>
  </si>
  <si>
    <t xml:space="preserve">Движок генерации заказов</t>
  </si>
  <si>
    <t xml:space="preserve">По прогнозу потребности минус остатки → нужно заказать N единиц по каждому SKU. Разнести по поставщикам с учётом минимальных партий.</t>
  </si>
  <si>
    <t xml:space="preserve">EP-1.5, EP-1.6</t>
  </si>
  <si>
    <t xml:space="preserve">Генерируется draft по каждому поставщику клиента. Сумма всех draft покрывает потребность. Минимальные партии учтены.</t>
  </si>
  <si>
    <t xml:space="preserve">Простой жадный алгоритм. Sophisticated optimization — позже.</t>
  </si>
  <si>
    <t xml:space="preserve">EP-1.8</t>
  </si>
  <si>
    <t xml:space="preserve">Telegram-бот: доставка и подтверждение</t>
  </si>
  <si>
    <t xml:space="preserve">Bot отправляет draft в указанное время недели. Кнопки: 'Подтвердить', 'Изменить количество', 'Отменить'. После подтверждения — отправка поставщику.</t>
  </si>
  <si>
    <t xml:space="preserve">Bot работает в назначенное время. UX: подтверждение draft занимает менее 2 минут на 3-4 поставщиках.</t>
  </si>
  <si>
    <t xml:space="preserve">Telegram Bot API проще, чем web — стартуем с него. Web интерфейс — STG-3.</t>
  </si>
  <si>
    <t xml:space="preserve">EP-1.9</t>
  </si>
  <si>
    <t xml:space="preserve">Safety checks</t>
  </si>
  <si>
    <t xml:space="preserve">Защита от ошибок: предупреждение если количество &gt;3× обычного, ограничение по дневному бюджету, обязательное подтверждение крупных заказов.</t>
  </si>
  <si>
    <t xml:space="preserve">При попытке отправить аномально большой заказ — UI предупреждение и double-confirm. Логи всех аномалий.</t>
  </si>
  <si>
    <t xml:space="preserve">Критически важно. Один промах с 50× молока — потеря клиента и репутации.</t>
  </si>
  <si>
    <t xml:space="preserve">EP-1.10</t>
  </si>
  <si>
    <t xml:space="preserve">Onboarding wizard</t>
  </si>
  <si>
    <t xml:space="preserve">Пошаговая настройка для нового клиента: подключение Poster → ингредиенты → рецепты → поставщики → расписание уведомлений.</t>
  </si>
  <si>
    <t xml:space="preserve">EP-1.4, EP-1.5</t>
  </si>
  <si>
    <t xml:space="preserve">Новый клиент проходит онбординг за 30-45 минут без помощи основателя.</t>
  </si>
  <si>
    <t xml:space="preserve">Изначально онбординг будет вручную с каждым пилотом — это нормально. Wizard для масштабирования.</t>
  </si>
  <si>
    <t xml:space="preserve">EP-1.11</t>
  </si>
  <si>
    <t xml:space="preserve">Базовая админка</t>
  </si>
  <si>
    <t xml:space="preserve">Внутренняя панель для founder'а: список клиентов, метрики использования, статусы синхронизации, логи ошибок.</t>
  </si>
  <si>
    <t xml:space="preserve">SHOULD</t>
  </si>
  <si>
    <t xml:space="preserve">За 30 сек видно состояние всех клиентов: активность, последний sync, ошибки.</t>
  </si>
  <si>
    <t xml:space="preserve">Минимум функций. Главное — детектировать сломанные синки.</t>
  </si>
  <si>
    <t xml:space="preserve">EP-1.12</t>
  </si>
  <si>
    <t xml:space="preserve">Тестирование на Customer Zero</t>
  </si>
  <si>
    <t xml:space="preserve">4 недели реального использования на собственной кофейне. Сбор фидбека, измерение метрик.</t>
  </si>
  <si>
    <t xml:space="preserve">EP-1.8, EP-1.9</t>
  </si>
  <si>
    <t xml:space="preserve">4 недели без критических ошибок. Сэкономлено ≥ 2 ч/нед времени основателя на закупки. Список фиксов готов.</t>
  </si>
  <si>
    <t xml:space="preserve">Это валидация работоспособности до подключения внешних пилотов.</t>
  </si>
  <si>
    <t xml:space="preserve">EP-1.13</t>
  </si>
  <si>
    <t xml:space="preserve">Запуск на 3 пилотах</t>
  </si>
  <si>
    <t xml:space="preserve">Подключение 3 пилотных кофеен. Сопровождение онбординга вручную, ежедневный мониторинг, фидбек-звонки.</t>
  </si>
  <si>
    <t xml:space="preserve">EP-1.10, EP-1.12</t>
  </si>
  <si>
    <t xml:space="preserve">3 пилота используют систему &gt;= 2 недели. Получено и обработано 10+ фидбек-сессий.</t>
  </si>
  <si>
    <t xml:space="preserve">Пилоты из тех знакомых, кто на интервью показал высокую мотивацию.</t>
  </si>
  <si>
    <t xml:space="preserve">EP-1.14</t>
  </si>
  <si>
    <t xml:space="preserve">Багфиксы и полировка</t>
  </si>
  <si>
    <t xml:space="preserve">Резерв на исправление багов и UX-проблем, выявленных на Customer Zero и пилотах.</t>
  </si>
  <si>
    <t xml:space="preserve">EP-1.12, EP-1.13</t>
  </si>
  <si>
    <t xml:space="preserve">Список багов закрыт. Критических открытых ошибок нет. NPS пилотов ≥ 40.</t>
  </si>
  <si>
    <t xml:space="preserve">Защитить этот резерв! Соблазн использовать на новые фичи — главный риск.</t>
  </si>
  <si>
    <t xml:space="preserve">EP-2.1</t>
  </si>
  <si>
    <t xml:space="preserve">Биллинг через Poster App Marketplace</t>
  </si>
  <si>
    <t xml:space="preserve">Интеграция с Poster billing API. Клиент платит за наше приложение в Poster, мы получаем долю.</t>
  </si>
  <si>
    <t xml:space="preserve">Платный план активируется автоматически после установки. Биллинг через Poster работает без участия основателя.</t>
  </si>
  <si>
    <t xml:space="preserve">Альтернатива — свой биллинг, но он добавит 3-4 нед работы. Poster billing — pragmatic choice.</t>
  </si>
  <si>
    <t xml:space="preserve">EP-2.2</t>
  </si>
  <si>
    <t xml:space="preserve">Self-service onboarding</t>
  </si>
  <si>
    <t xml:space="preserve">Удалить участие основателя из онбординга. Видео-туториалы, in-app guides, tooltip hints.</t>
  </si>
  <si>
    <t xml:space="preserve">Новый клиент проходит онбординг за 1 час без помощи. Минимум 3 клиента подтверждают.</t>
  </si>
  <si>
    <t xml:space="preserve">Узкое место для масштабирования.</t>
  </si>
  <si>
    <t xml:space="preserve">EP-2.3</t>
  </si>
  <si>
    <t xml:space="preserve">История заказов и архив</t>
  </si>
  <si>
    <t xml:space="preserve">Полная история всех drafts и отправленных заказов. Поиск, фильтры, экспорт в CSV/Excel.</t>
  </si>
  <si>
    <t xml:space="preserve">Можно найти заказ по дате/поставщику/SKU. Экспорт работает.</t>
  </si>
  <si>
    <t xml:space="preserve">Запрос от пилотов на стадии 1.</t>
  </si>
  <si>
    <t xml:space="preserve">EP-2.4</t>
  </si>
  <si>
    <t xml:space="preserve">Гибкий учёт расхода</t>
  </si>
  <si>
    <t xml:space="preserve">Учёт неравномерности: выходные vs будни, праздники, сезонные пики. Расширение алгоритма прогноза EP-1.6.</t>
  </si>
  <si>
    <t xml:space="preserve">Прогноз учитывает день недели и календарные исключения. Точность улучшается на 5%+.</t>
  </si>
  <si>
    <t xml:space="preserve">Самый запрошенный апгрейд после пилотов.</t>
  </si>
  <si>
    <t xml:space="preserve">EP-2.5</t>
  </si>
  <si>
    <t xml:space="preserve">Inventory tracking</t>
  </si>
  <si>
    <t xml:space="preserve">Учёт остатков с минимальными ручными действиями. Автоматическое списание по продажам + еженедельная сверка.</t>
  </si>
  <si>
    <t xml:space="preserve">Остатки соответствуют реальным с точностью ±10% между сверками. Сверка занимает менее 15 мин.</t>
  </si>
  <si>
    <t xml:space="preserve">Грязные данные — главная проблема прогноза. Inventory нужно делать аккуратно.</t>
  </si>
  <si>
    <t xml:space="preserve">EP-2.6</t>
  </si>
  <si>
    <t xml:space="preserve">Уведомления и алерты</t>
  </si>
  <si>
    <t xml:space="preserve">Push-уведомления: 'пора заказать у X', 'поставщик не подтвердил вчерашний заказ', 'аномалия в продажах'.</t>
  </si>
  <si>
    <t xml:space="preserve">3+ типа уведомлений. Настраиваемая частота. Telegram + email каналы.</t>
  </si>
  <si>
    <t xml:space="preserve">EP-2.7</t>
  </si>
  <si>
    <t xml:space="preserve">Customer success цикл</t>
  </si>
  <si>
    <t xml:space="preserve">Регулярные звонки с каждым клиентом (раз в 2 нед), сбор фидбека, реактивная поддержка.</t>
  </si>
  <si>
    <t xml:space="preserve">10+ платящих клиентов имеют чёткое впечатление, что их слышат. NPS ≥ 30.</t>
  </si>
  <si>
    <t xml:space="preserve">Это не разработка, но критическая работа стадии 2.</t>
  </si>
  <si>
    <t xml:space="preserve">EP-2.8</t>
  </si>
  <si>
    <t xml:space="preserve">Багфиксы и полировка PMF-стадии</t>
  </si>
  <si>
    <t xml:space="preserve">Резерв на итеративные улучшения по фидбеку платящих клиентов.</t>
  </si>
  <si>
    <t xml:space="preserve">Все P0/P1 баги закрыты. Retention 4-week ≥ 80%.</t>
  </si>
  <si>
    <t xml:space="preserve">EP-3.1</t>
  </si>
  <si>
    <t xml:space="preserve">iiko коннектор</t>
  </si>
  <si>
    <t xml:space="preserve">Второй POS-коннектор. iiko доминирует в РФ среди средних кофеен и расширяет TAM в 4-5 раз.</t>
  </si>
  <si>
    <t xml:space="preserve">iiko-клиенты могут пройти онбординг и получать draft-заказы наравне с Poster-клиентами.</t>
  </si>
  <si>
    <t xml:space="preserve">iiko API сложнее и закрытее, чем Poster. Заранее изучить документацию.</t>
  </si>
  <si>
    <t xml:space="preserve">EP-3.2</t>
  </si>
  <si>
    <t xml:space="preserve">Погодный контекст</t>
  </si>
  <si>
    <t xml:space="preserve">Коррекция прогноза с учётом погоды на 7 дней через OpenWeather API. Жара = больше холодных напитков, дождь = меньше потока.</t>
  </si>
  <si>
    <t xml:space="preserve">Прогноз учитывает погоду. Backtesting показывает улучшение точности на 3-5%.</t>
  </si>
  <si>
    <t xml:space="preserve">Координаты точки берутся из Poster или вводятся в онбординге.</t>
  </si>
  <si>
    <t xml:space="preserve">EP-3.3</t>
  </si>
  <si>
    <t xml:space="preserve">Календарь событий</t>
  </si>
  <si>
    <t xml:space="preserve">Учёт локальных событий (концерты, ярмарки, фестивали) и праздников. Парсер афиш + ручной ввод.</t>
  </si>
  <si>
    <t xml:space="preserve">События в радиусе 1 км учитываются в прогнозе. Источники: городские афиши, Telegram-каналы районов.</t>
  </si>
  <si>
    <t xml:space="preserve">Юридически чисто (публичные события). Точность парсера улучшается итеративно.</t>
  </si>
  <si>
    <t xml:space="preserve">EP-3.4</t>
  </si>
  <si>
    <t xml:space="preserve">Web-приложение</t>
  </si>
  <si>
    <t xml:space="preserve">Полноценный web UI вместо только Telegram. Дашборд, аналитика, настройки, история.</t>
  </si>
  <si>
    <t xml:space="preserve">Все функции Telegram-бота доступны в web + полная аналитика. Responsive дизайн.</t>
  </si>
  <si>
    <t xml:space="preserve">Самая большая задача стадии. Не overengineering — простой и понятный UI.</t>
  </si>
  <si>
    <t xml:space="preserve">EP-3.5</t>
  </si>
  <si>
    <t xml:space="preserve">Поддержка мини-сетей (multi-location)</t>
  </si>
  <si>
    <t xml:space="preserve">2-5 точек одного клиента в одном аккаунте. Сводная аналитика + отдельные настройки для каждой точки.</t>
  </si>
  <si>
    <t xml:space="preserve">Клиент с 3 точками может управлять всеми из одного интерфейса. Биллинг учитывает количество точек.</t>
  </si>
  <si>
    <t xml:space="preserve">Открывает более премиальный сегмент ($299/мес tier).</t>
  </si>
  <si>
    <t xml:space="preserve">EP-3.6</t>
  </si>
  <si>
    <t xml:space="preserve">LLM-объяснения прогноза</t>
  </si>
  <si>
    <t xml:space="preserve">Естественно-языковые объяснения: 'прогноз вырос потому что суббота + жара + концерт в парке Челюскинцев'.</t>
  </si>
  <si>
    <t xml:space="preserve">EP-3.2, EP-3.3</t>
  </si>
  <si>
    <t xml:space="preserve">Каждый draft сопровождается объяснением на 2-3 предложения. Объяснения релевантны и точны.</t>
  </si>
  <si>
    <t xml:space="preserve">Использовать Claude/GPT API. Кеширование для снижения стоимости.</t>
  </si>
  <si>
    <t xml:space="preserve">EP-3.7</t>
  </si>
  <si>
    <t xml:space="preserve">Маркетинговая активация</t>
  </si>
  <si>
    <t xml:space="preserve">Контент про закупки в HoReCa (3 статьи), кейсы пилотов, обновлённый лендинг, listing в Poster Marketplace.</t>
  </si>
  <si>
    <t xml:space="preserve">Опубликовано 3+ материала, кейсы 2-3 клиентов, лендинг v2 запущен.</t>
  </si>
  <si>
    <t xml:space="preserve">Не публичный — значит работаем через текст, не видео и не интервью.</t>
  </si>
  <si>
    <t xml:space="preserve">EP-3.8</t>
  </si>
  <si>
    <t xml:space="preserve">Текущая поддержка клиентов</t>
  </si>
  <si>
    <t xml:space="preserve">Реактивная поддержка, тушение пожаров, фидбек-цикл. Растёт с количеством клиентов.</t>
  </si>
  <si>
    <t xml:space="preserve">SLA: ответ в течение 24ч на платных тарифах. Churn ≤ 5%/мес.</t>
  </si>
  <si>
    <t xml:space="preserve">К концу стадии нанять customer success парт-тайм.</t>
  </si>
  <si>
    <t xml:space="preserve">EP-4.1</t>
  </si>
  <si>
    <t xml:space="preserve">Бенчмаркинг engine</t>
  </si>
  <si>
    <t xml:space="preserve">Анонимная агрегация метрик по похожим точкам. Кластеризация по геолокации, размеру, формату. Сравнение.</t>
  </si>
  <si>
    <t xml:space="preserve">Клиент видит сравнение своих метрик с похожими точками. Анонимизация защищает конкурентов.</t>
  </si>
  <si>
    <t xml:space="preserve">Юридически безопасно благодаря анонимизации + opt-in.</t>
  </si>
  <si>
    <t xml:space="preserve">EP-4.2</t>
  </si>
  <si>
    <t xml:space="preserve">Каталог цен</t>
  </si>
  <si>
    <t xml:space="preserve">База цен на ключевые SKU по регионам, агрегированная из данных клиентов. 'У вас зерно 1820, у похожих 1650'.</t>
  </si>
  <si>
    <t xml:space="preserve">Каталог покрывает 80% ключевых SKU. Обновление ежедневное. Цены валидируются.</t>
  </si>
  <si>
    <t xml:space="preserve">Самый сильный value-add: прямая экономия для клиента.</t>
  </si>
  <si>
    <t xml:space="preserve">EP-4.3</t>
  </si>
  <si>
    <t xml:space="preserve">Рекомендатор поставщиков</t>
  </si>
  <si>
    <t xml:space="preserve">AI-рекомендации: 'смените поставщика X на Y и экономьте $180/мес'. Учёт минимальных партий, логистики.</t>
  </si>
  <si>
    <t xml:space="preserve">Минимум 3 валидных рекомендации в месяц для каждого клиента. Доказанные кейсы экономии.</t>
  </si>
  <si>
    <t xml:space="preserve">Должно быть про реальные альтернативы, не теоретические.</t>
  </si>
  <si>
    <t xml:space="preserve">EP-4.4</t>
  </si>
  <si>
    <t xml:space="preserve">API для интеграций поставщиков</t>
  </si>
  <si>
    <t xml:space="preserve">REST API, через который поставщики могут давать прайсы и остатки. Документация, sandbox.</t>
  </si>
  <si>
    <t xml:space="preserve">API задокументирован. 2-3 поставщика-партнёра успешно интегрированы.</t>
  </si>
  <si>
    <t xml:space="preserve">Это первый шаг к marketplace в STG-5.</t>
  </si>
  <si>
    <t xml:space="preserve">EP-4.5</t>
  </si>
  <si>
    <t xml:space="preserve">Партнёрский кабинет</t>
  </si>
  <si>
    <t xml:space="preserve">UI для первых 5-10 поставщиков-партнёров. Просмотр статистики заказов от наших клиентов, обновление прайсов.</t>
  </si>
  <si>
    <t xml:space="preserve">5+ поставщиков пользуются кабинетом. Самостоятельное обновление прайсов.</t>
  </si>
  <si>
    <t xml:space="preserve">EP-4.6</t>
  </si>
  <si>
    <t xml:space="preserve">Аналитика для клиента</t>
  </si>
  <si>
    <t xml:space="preserve">Графики маржи, тренды по SKU, прогноз остатков, ROI от использования продукта.</t>
  </si>
  <si>
    <t xml:space="preserve">5+ ключевых отчётов. Клиент может ответить на вопрос 'сколько я сэкономил с помощью системы'.</t>
  </si>
  <si>
    <t xml:space="preserve">Защита от churn — показать что система ценна.</t>
  </si>
  <si>
    <t xml:space="preserve">EP-4.7</t>
  </si>
  <si>
    <t xml:space="preserve">Бенчмаркинг UI</t>
  </si>
  <si>
    <t xml:space="preserve">Визуализация сравнения с похожими точками без раскрытия конкретных конкурентов.</t>
  </si>
  <si>
    <t xml:space="preserve">Графики и метрики 'вы vs средний по сегменту'. Понятно за 30 сек.</t>
  </si>
  <si>
    <t xml:space="preserve">EP-4.8</t>
  </si>
  <si>
    <t xml:space="preserve">Tier 2 ценообразование ($199)</t>
  </si>
  <si>
    <t xml:space="preserve">Премиум-план с бенчмаркингом, рекомендациями, аналитикой. Миграция существующих клиентов.</t>
  </si>
  <si>
    <t xml:space="preserve">20%+ клиентов переходят на $199 в первые 2 месяца после релиза.</t>
  </si>
  <si>
    <t xml:space="preserve">EP-5.1</t>
  </si>
  <si>
    <t xml:space="preserve">Поставщик: онбординг и верификация</t>
  </si>
  <si>
    <t xml:space="preserve">Регистрация поставщиков, KYC, юр.документы, верификация остатков.</t>
  </si>
  <si>
    <t xml:space="preserve">Поставщик регистрируется за 1-2 дня. Верифицирован, готов к работе.</t>
  </si>
  <si>
    <t xml:space="preserve">FOUNDER, JAVA_BE, EXT</t>
  </si>
  <si>
    <t xml:space="preserve">Юристы потребуются.</t>
  </si>
  <si>
    <t xml:space="preserve">EP-5.2</t>
  </si>
  <si>
    <t xml:space="preserve">Прайс-менеджмент UI</t>
  </si>
  <si>
    <t xml:space="preserve">Поставщики управляют прайсами, остатками, акциями. API + UI.</t>
  </si>
  <si>
    <t xml:space="preserve">Поставщик может обновить весь прайс-лист за 10 мин. Интеграции с их системами через CSV/API.</t>
  </si>
  <si>
    <t xml:space="preserve">EP-5.3</t>
  </si>
  <si>
    <t xml:space="preserve">Order routing engine</t>
  </si>
  <si>
    <t xml:space="preserve">Клиент выбирает поставщика в системе. Заказ маршрутизируется напрямую в учётную систему поставщика.</t>
  </si>
  <si>
    <t xml:space="preserve">Заказ от клиента доходит до поставщика без вмешательства человека. SLA на доставку.</t>
  </si>
  <si>
    <t xml:space="preserve">Самая сложная инженерная задача.</t>
  </si>
  <si>
    <t xml:space="preserve">EP-5.4</t>
  </si>
  <si>
    <t xml:space="preserve">Платёжная интеграция</t>
  </si>
  <si>
    <t xml:space="preserve">Платежи через нашу платформу. Эскроу, налоги, чеки, отчётность для маркетплейса.</t>
  </si>
  <si>
    <t xml:space="preserve">Платёж проходит, чеки выписываются, бух. отчётность формируется автоматически.</t>
  </si>
  <si>
    <t xml:space="preserve">JAVA_BE, EXT</t>
  </si>
  <si>
    <t xml:space="preserve">Юр. сложность высокая. Нужен консультант по e-commerce юриспруденции.</t>
  </si>
  <si>
    <t xml:space="preserve">EP-5.5</t>
  </si>
  <si>
    <t xml:space="preserve">Sales команда для онбординга поставщиков</t>
  </si>
  <si>
    <t xml:space="preserve">Внешний ресурс для активных продаж поставщикам в первые месяцы маркетплейса.</t>
  </si>
  <si>
    <t xml:space="preserve">5-10 поставщиков on-platform на конец стадии.</t>
  </si>
  <si>
    <t xml:space="preserve">EXT</t>
  </si>
  <si>
    <t xml:space="preserve">Это не разработка. Внешний sales-консультант на $500-1000/мес.</t>
  </si>
  <si>
    <t xml:space="preserve">EP-5.6</t>
  </si>
  <si>
    <t xml:space="preserve">Юридическая обвязка</t>
  </si>
  <si>
    <t xml:space="preserve">ToS для маркетплейса, договоры с поставщиками, защита данных, налоги, регуляторика.</t>
  </si>
  <si>
    <t xml:space="preserve">Все юр.документы готовы и проверены. Compliance check пройден.</t>
  </si>
  <si>
    <t xml:space="preserve">$5-10K на юристов.</t>
  </si>
  <si>
    <t xml:space="preserve">ИТОГО ПО ВСЕМ СТАДИЯМ</t>
  </si>
  <si>
    <t xml:space="preserve">Subtotals by stage:</t>
  </si>
  <si>
    <t xml:space="preserve">STG-1 (MVP)</t>
  </si>
  <si>
    <t xml:space="preserve">Metrics — KPI и gate-критерии по стадиям</t>
  </si>
  <si>
    <t xml:space="preserve">Метрики для перехода между стадиями. GATE = условие перехода. KILL = условие остановки проекта. Метрики проверяются на конце каждой стадии.</t>
  </si>
  <si>
    <t xml:space="preserve">Metric_ID</t>
  </si>
  <si>
    <t xml:space="preserve">Metric_Name</t>
  </si>
  <si>
    <t xml:space="preserve">Target_Value</t>
  </si>
  <si>
    <t xml:space="preserve">Type</t>
  </si>
  <si>
    <t xml:space="preserve">Measurement_How</t>
  </si>
  <si>
    <t xml:space="preserve">Current_Value</t>
  </si>
  <si>
    <t xml:space="preserve">MTR-0.1</t>
  </si>
  <si>
    <t xml:space="preserve">Confirmed pain in interviews</t>
  </si>
  <si>
    <t xml:space="preserve">≥10 из 15</t>
  </si>
  <si>
    <t xml:space="preserve">GATE</t>
  </si>
  <si>
    <t xml:space="preserve">Подсчёт по интервью: сколько подтвердили закупки как топ-3 источник потраченного времени</t>
  </si>
  <si>
    <t xml:space="preserve">—</t>
  </si>
  <si>
    <t xml:space="preserve">Если меньше — боль не такая острая как мы думаем</t>
  </si>
  <si>
    <t xml:space="preserve">MTR-0.2</t>
  </si>
  <si>
    <t xml:space="preserve">Quantified pain (hours/errors)</t>
  </si>
  <si>
    <t xml:space="preserve">≥6 из 15 дали цифры</t>
  </si>
  <si>
    <t xml:space="preserve">Конкретные цифры в часах/неделю или $/мес ошибок</t>
  </si>
  <si>
    <t xml:space="preserve">Качественное 'много времени' не считается, нужны цифры</t>
  </si>
  <si>
    <t xml:space="preserve">MTR-0.3</t>
  </si>
  <si>
    <t xml:space="preserve">Willingness to pay $80+</t>
  </si>
  <si>
    <t xml:space="preserve">≥3 из 15</t>
  </si>
  <si>
    <t xml:space="preserve">Прямой вопрос: 'заплатил бы за решение $X в мес?'</t>
  </si>
  <si>
    <t xml:space="preserve">Conservative — реальная конверсия будет меньше</t>
  </si>
  <si>
    <t xml:space="preserve">MTR-0.4</t>
  </si>
  <si>
    <t xml:space="preserve">Waitlist signups</t>
  </si>
  <si>
    <t xml:space="preserve">≥5</t>
  </si>
  <si>
    <t xml:space="preserve">KPI</t>
  </si>
  <si>
    <t xml:space="preserve">Количество подписавшихся на waitlist</t>
  </si>
  <si>
    <t xml:space="preserve">Дополнительный сигнал интереса</t>
  </si>
  <si>
    <t xml:space="preserve">MTR-1.1</t>
  </si>
  <si>
    <t xml:space="preserve">Pilots actively using weekly</t>
  </si>
  <si>
    <t xml:space="preserve">3 из 3 на 4 нед</t>
  </si>
  <si>
    <t xml:space="preserve">Telegram bot logs: подтверждение draft каждую неделю</t>
  </si>
  <si>
    <t xml:space="preserve">Customer Zero + 2 пилота — минимум для валидации</t>
  </si>
  <si>
    <t xml:space="preserve">MTR-1.2</t>
  </si>
  <si>
    <t xml:space="preserve">≥2 из 3 пилотов</t>
  </si>
  <si>
    <t xml:space="preserve">Прямой вопрос на feedback-сессии после 4 недель пилота</t>
  </si>
  <si>
    <t xml:space="preserve">Если меньше — продукт не доделан или цена неверна</t>
  </si>
  <si>
    <t xml:space="preserve">MTR-1.3</t>
  </si>
  <si>
    <t xml:space="preserve">Measurable savings</t>
  </si>
  <si>
    <t xml:space="preserve">≥2 ч/нед или ≥$200/мес</t>
  </si>
  <si>
    <t xml:space="preserve">Сравнение времени/денег до и после внедрения</t>
  </si>
  <si>
    <t xml:space="preserve">Конкретные цифры от пилотов, не оценки</t>
  </si>
  <si>
    <t xml:space="preserve">MTR-1.4</t>
  </si>
  <si>
    <t xml:space="preserve">Critical errors</t>
  </si>
  <si>
    <t xml:space="preserve">0</t>
  </si>
  <si>
    <t xml:space="preserve">Лог: количество промахов в заказах (&gt;2× нужного, забыли отправить)</t>
  </si>
  <si>
    <t xml:space="preserve">Один критический промах — потеря пилота</t>
  </si>
  <si>
    <t xml:space="preserve">MTR-1.5</t>
  </si>
  <si>
    <t xml:space="preserve">MVP delivery time</t>
  </si>
  <si>
    <t xml:space="preserve">≤14 нед</t>
  </si>
  <si>
    <t xml:space="preserve">Время от начала разработки до запуска пилотов</t>
  </si>
  <si>
    <t xml:space="preserve">Превышение на &gt;3 недели = разобрать причины</t>
  </si>
  <si>
    <t xml:space="preserve">MTR-2.1</t>
  </si>
  <si>
    <t xml:space="preserve">Paying customers</t>
  </si>
  <si>
    <t xml:space="preserve">≥10</t>
  </si>
  <si>
    <t xml:space="preserve">Активные платные подписки</t>
  </si>
  <si>
    <t xml:space="preserve">Не пилоты. Реально платят</t>
  </si>
  <si>
    <t xml:space="preserve">MTR-2.2</t>
  </si>
  <si>
    <t xml:space="preserve">≥$1,000</t>
  </si>
  <si>
    <t xml:space="preserve">Сумма ежемесячных подписок</t>
  </si>
  <si>
    <t xml:space="preserve">$79 × 13 = $1027, или $129 × 8 = $1032</t>
  </si>
  <si>
    <t xml:space="preserve">MTR-2.3</t>
  </si>
  <si>
    <t xml:space="preserve">4-week retention</t>
  </si>
  <si>
    <t xml:space="preserve">≥80%</t>
  </si>
  <si>
    <t xml:space="preserve">Платных клиентов с активной подпиской 4+ недель / всех начавших</t>
  </si>
  <si>
    <t xml:space="preserve">Главный сигнал PMF</t>
  </si>
  <si>
    <t xml:space="preserve">MTR-2.4</t>
  </si>
  <si>
    <t xml:space="preserve">NPS</t>
  </si>
  <si>
    <t xml:space="preserve">≥30</t>
  </si>
  <si>
    <t xml:space="preserve">Стандартный NPS-опрос всех платных клиентов</t>
  </si>
  <si>
    <t xml:space="preserve">30+ — индикатор продукта, готового к рекомендациям</t>
  </si>
  <si>
    <t xml:space="preserve">MTR-2.5</t>
  </si>
  <si>
    <t xml:space="preserve">Kill criterion</t>
  </si>
  <si>
    <t xml:space="preserve">MRR&lt;$500 + retention&lt;60%</t>
  </si>
  <si>
    <t xml:space="preserve">KILL</t>
  </si>
  <si>
    <t xml:space="preserve">Если оба условия — закрытие проекта</t>
  </si>
  <si>
    <t xml:space="preserve">Публичное обязательство, защищающее от sunk cost</t>
  </si>
  <si>
    <t xml:space="preserve">MTR-3.1</t>
  </si>
  <si>
    <t xml:space="preserve">Активные платные</t>
  </si>
  <si>
    <t xml:space="preserve">Из них минимум 5 — мини-сети 2+ точек</t>
  </si>
  <si>
    <t xml:space="preserve">MTR-3.2</t>
  </si>
  <si>
    <t xml:space="preserve">≥$4,000</t>
  </si>
  <si>
    <t xml:space="preserve">Сумма подписок</t>
  </si>
  <si>
    <t xml:space="preserve">$129 × 30 = $3870, плюс мини-сети по $299</t>
  </si>
  <si>
    <t xml:space="preserve">MTR-3.3</t>
  </si>
  <si>
    <t xml:space="preserve">Monthly churn</t>
  </si>
  <si>
    <t xml:space="preserve">≤5%</t>
  </si>
  <si>
    <t xml:space="preserve">Ушедших клиентов / всех в начале месяца</t>
  </si>
  <si>
    <t xml:space="preserve">Healthy SMB SaaS baseline</t>
  </si>
  <si>
    <t xml:space="preserve">MTR-3.4</t>
  </si>
  <si>
    <t xml:space="preserve">Founder support time</t>
  </si>
  <si>
    <t xml:space="preserve">≤4 ч/нед</t>
  </si>
  <si>
    <t xml:space="preserve">Время основателя на customer support</t>
  </si>
  <si>
    <t xml:space="preserve">Если больше — масштабирование физически невозможно</t>
  </si>
  <si>
    <t xml:space="preserve">MTR-3.5</t>
  </si>
  <si>
    <t xml:space="preserve">Cash flow positive</t>
  </si>
  <si>
    <t xml:space="preserve">≥$0</t>
  </si>
  <si>
    <t xml:space="preserve">MRR минус все расходы стадии</t>
  </si>
  <si>
    <t xml:space="preserve">Стадия должна окупать сама себя</t>
  </si>
  <si>
    <t xml:space="preserve">MTR-4.1</t>
  </si>
  <si>
    <t xml:space="preserve">≥100</t>
  </si>
  <si>
    <t xml:space="preserve">MTR-4.2</t>
  </si>
  <si>
    <t xml:space="preserve">≥$12,000</t>
  </si>
  <si>
    <t xml:space="preserve">$129 × 100 = $12,900, плюс tier $199</t>
  </si>
  <si>
    <t xml:space="preserve">MTR-4.3</t>
  </si>
  <si>
    <t xml:space="preserve">Tier 2 ($199) adoption</t>
  </si>
  <si>
    <t xml:space="preserve">≥20%</t>
  </si>
  <si>
    <t xml:space="preserve">Клиентов на $199 / всех клиентов</t>
  </si>
  <si>
    <t xml:space="preserve">Показывает что бенчмаркинг даёт ценность</t>
  </si>
  <si>
    <t xml:space="preserve">MTR-4.4</t>
  </si>
  <si>
    <t xml:space="preserve">Supplier partners on catalog</t>
  </si>
  <si>
    <t xml:space="preserve">Поставщиков с активным прайсом в каталоге</t>
  </si>
  <si>
    <t xml:space="preserve">Подготовка к Stage 5</t>
  </si>
  <si>
    <t xml:space="preserve">MTR-4.5</t>
  </si>
  <si>
    <t xml:space="preserve">Documented savings case</t>
  </si>
  <si>
    <t xml:space="preserve">≥3 кейса</t>
  </si>
  <si>
    <t xml:space="preserve">Кейсы 'клиент X сэкономил $Y благодаря системе'</t>
  </si>
  <si>
    <t xml:space="preserve">Маркетинговый актив</t>
  </si>
  <si>
    <t xml:space="preserve">MTR-5.1</t>
  </si>
  <si>
    <t xml:space="preserve">≥200</t>
  </si>
  <si>
    <t xml:space="preserve">MTR-5.2</t>
  </si>
  <si>
    <t xml:space="preserve">MRR (SaaS + RevShare)</t>
  </si>
  <si>
    <t xml:space="preserve">≥$30,000</t>
  </si>
  <si>
    <t xml:space="preserve">Сумма SaaS-подписок + rev-share от GMV</t>
  </si>
  <si>
    <t xml:space="preserve">Marketplace начинает значимо контрибутить</t>
  </si>
  <si>
    <t xml:space="preserve">MTR-5.3</t>
  </si>
  <si>
    <t xml:space="preserve">GMV через систему</t>
  </si>
  <si>
    <t xml:space="preserve">≥$200,000/мес</t>
  </si>
  <si>
    <t xml:space="preserve">Сумма заказов клиентов через нашу платформу</t>
  </si>
  <si>
    <t xml:space="preserve">Объём для экономики marketplace</t>
  </si>
  <si>
    <t xml:space="preserve">MTR-5.4</t>
  </si>
  <si>
    <t xml:space="preserve">Suppliers on platform</t>
  </si>
  <si>
    <t xml:space="preserve">≥15</t>
  </si>
  <si>
    <t xml:space="preserve">Активных поставщиков с API/прайс-листами</t>
  </si>
  <si>
    <t xml:space="preserve">Двусторонний рынок работает</t>
  </si>
  <si>
    <t xml:space="preserve">MTR-5.5</t>
  </si>
  <si>
    <t xml:space="preserve">Rev-share % of total revenue</t>
  </si>
  <si>
    <t xml:space="preserve">≥15%</t>
  </si>
  <si>
    <t xml:space="preserve">Доля rev-share в общем MRR</t>
  </si>
  <si>
    <t xml:space="preserve">Marketplace становится значимым revenue stream</t>
  </si>
  <si>
    <t xml:space="preserve">Risks — реестр рисков с митигациями</t>
  </si>
  <si>
    <t xml:space="preserve">Риски проекта по категориям. Severity — насколько плохо если случится. Probability — вероятность. Score = Severity × Probability (High=3, Medium=2, Low=1).</t>
  </si>
  <si>
    <t xml:space="preserve">Risk_ID</t>
  </si>
  <si>
    <t xml:space="preserve">Stage_IDs</t>
  </si>
  <si>
    <t xml:space="preserve">Category</t>
  </si>
  <si>
    <t xml:space="preserve">Risk_Description</t>
  </si>
  <si>
    <t xml:space="preserve">Severity</t>
  </si>
  <si>
    <t xml:space="preserve">Probability</t>
  </si>
  <si>
    <t xml:space="preserve">Score</t>
  </si>
  <si>
    <t xml:space="preserve">Mitigation</t>
  </si>
  <si>
    <t xml:space="preserve">RSK-001</t>
  </si>
  <si>
    <t xml:space="preserve">Market</t>
  </si>
  <si>
    <t xml:space="preserve">Боль не подтверждается на интервью — рынок не нуждается в продукте</t>
  </si>
  <si>
    <t xml:space="preserve">HIGH</t>
  </si>
  <si>
    <t xml:space="preserve">MEDIUM</t>
  </si>
  <si>
    <t xml:space="preserve">15 разнообразных интервью + чёткие gate-критерии + готовность сделать pivot или kill</t>
  </si>
  <si>
    <t xml:space="preserve">ACTIVE</t>
  </si>
  <si>
    <t xml:space="preserve">RSK-002</t>
  </si>
  <si>
    <t xml:space="preserve">STG-1, STG-2, STG-3</t>
  </si>
  <si>
    <t xml:space="preserve">Founder</t>
  </si>
  <si>
    <t xml:space="preserve">Выгорание основателя из-за совмещения с другими нагрузками (стройка/кофейня/работа)</t>
  </si>
  <si>
    <t xml:space="preserve">Шаг 0 (снять одну нагрузку ДО старта) + жёсткий лимит 20 ч/нед + stop-condition: жена видит ухудшение → пауза</t>
  </si>
  <si>
    <t xml:space="preserve">RSK-003</t>
  </si>
  <si>
    <t xml:space="preserve">Technical</t>
  </si>
  <si>
    <t xml:space="preserve">Poster API меняется или ограничивает доступ нашему приложению</t>
  </si>
  <si>
    <t xml:space="preserve">LOW</t>
  </si>
  <si>
    <t xml:space="preserve">Подача на Poster Dev Portal на нед 1, поддержание партнёрских отношений, готовность интегрировать iiko в STG-3</t>
  </si>
  <si>
    <t xml:space="preserve">RSK-004</t>
  </si>
  <si>
    <t xml:space="preserve">Грязные данные в Poster у пилотов (нет рецептуры или устаревшая)</t>
  </si>
  <si>
    <t xml:space="preserve">Онбординг включает аудит данных. Не подключаем кофейню без чистой рецептуры. Помогаем настроить вместе.</t>
  </si>
  <si>
    <t xml:space="preserve">RSK-005</t>
  </si>
  <si>
    <t xml:space="preserve">Operational</t>
  </si>
  <si>
    <t xml:space="preserve">Ошибочный draft-заказ (50× молока) приводит к потере клиента и репутации</t>
  </si>
  <si>
    <t xml:space="preserve">Human-in-the-loop ВСЕГДА + sanity checks в UI (&gt;3× обычного — подтверждение) + soft launch с ручной проверкой первые 2 мес</t>
  </si>
  <si>
    <t xml:space="preserve">RSK-006</t>
  </si>
  <si>
    <t xml:space="preserve">STG-1, STG-2</t>
  </si>
  <si>
    <t xml:space="preserve">Java BE-партнёр не успевает (парт-тайм субподряд непредсказуем)</t>
  </si>
  <si>
    <t xml:space="preserve">Разбить BE-работу на atomic тикеты по 4-8ч, ежедневный синк, fallback план — нанять временного контрактора</t>
  </si>
  <si>
    <t xml:space="preserve">RSK-007</t>
  </si>
  <si>
    <t xml:space="preserve">Пилоты не конвертируются в платных клиентов</t>
  </si>
  <si>
    <t xml:space="preserve">Биллинг через Poster Marketplace = zero-friction. Активный customer success. Цена начиная с $79 как barrier-free entry</t>
  </si>
  <si>
    <t xml:space="preserve">RSK-008</t>
  </si>
  <si>
    <t xml:space="preserve">STG-2, STG-3</t>
  </si>
  <si>
    <t xml:space="preserve">Технарь не справляется с customer success / продажами</t>
  </si>
  <si>
    <t xml:space="preserve">Простой шаблон фидбек-звонков (15 мин, 5 вопросов). Через час практики становится норм. Внешний CS-помощник к концу STG-3</t>
  </si>
  <si>
    <t xml:space="preserve">RSK-009</t>
  </si>
  <si>
    <t xml:space="preserve">STG-2, STG-3, STG-4</t>
  </si>
  <si>
    <t xml:space="preserve">Высокий churn в SMB HoReCa из-за закрытия кофеен (15-25%/год)</t>
  </si>
  <si>
    <t xml:space="preserve">Operational lock-in снижает churn до 2.5-3%. Фокус на мини-сетях 2-5 точек (выживают лучше). Премиум-цена компенсирует</t>
  </si>
  <si>
    <t xml:space="preserve">RSK-010</t>
  </si>
  <si>
    <t xml:space="preserve">STG-3, STG-4</t>
  </si>
  <si>
    <t xml:space="preserve">iiko API более закрытый/сложный чем Poster — задержка коннектора</t>
  </si>
  <si>
    <t xml:space="preserve">Изучить документацию iiko ДО старта STG-3. Если совсем тяжело — отложить и фокус на расширении Poster-сегмента</t>
  </si>
  <si>
    <t xml:space="preserve">RSK-011</t>
  </si>
  <si>
    <t xml:space="preserve">LLM-API стоимость съест маржу при росте клиентов</t>
  </si>
  <si>
    <t xml:space="preserve">Cap на тариф + кеширование + гибрид правила+LLM (LLM только для anomaly detection/explanations) + мониторинг cost-per-customer</t>
  </si>
  <si>
    <t xml:space="preserve">RSK-012</t>
  </si>
  <si>
    <t xml:space="preserve">STG-3, STG-4, STG-5</t>
  </si>
  <si>
    <t xml:space="preserve">POS-вендор (Poster, iiko) скопирует функционал и встроит нативно</t>
  </si>
  <si>
    <t xml:space="preserve">Operational lock-in + marketplace flywheel = структурная защита. POS не построит marketplace из-за конфликта интересов</t>
  </si>
  <si>
    <t xml:space="preserve">RSK-013</t>
  </si>
  <si>
    <t xml:space="preserve">STG-4, STG-5</t>
  </si>
  <si>
    <t xml:space="preserve">Поставщики отказываются регистрироваться (Phase 3-5)</t>
  </si>
  <si>
    <t xml:space="preserve">Идём к ним только при 100+ клиентах. Приносим им клиентов, не наоборот. Базовый функционал работает без них</t>
  </si>
  <si>
    <t xml:space="preserve">RSK-014</t>
  </si>
  <si>
    <t xml:space="preserve">Legal</t>
  </si>
  <si>
    <t xml:space="preserve">Юридические сложности маркетплейса (KYC, налоги, защита данных, e-commerce регуляции)</t>
  </si>
  <si>
    <t xml:space="preserve">Юр.аудит ДО запуска STG-5. Бюджет $5-10K на юристов. Чёткие ToS для обеих сторон. Compliance check</t>
  </si>
  <si>
    <t xml:space="preserve">RSK-015</t>
  </si>
  <si>
    <t xml:space="preserve">Financial</t>
  </si>
  <si>
    <t xml:space="preserve">Marketplace требует значительного капитала на онбординг поставщиков и юр-работу</t>
  </si>
  <si>
    <t xml:space="preserve">К моменту STG-5 у нас MRR $12K+ из STG-4. Возможный small angel round или venture debt. Не идём в STG-5 без подушки</t>
  </si>
  <si>
    <t xml:space="preserve">RSK-016</t>
  </si>
  <si>
    <t xml:space="preserve">Бюджет MVP исчерпан раньше чем готов работающий продукт</t>
  </si>
  <si>
    <t xml:space="preserve">Подушка &gt;6 мес расходов НЕ затронута. Резерв 25% в бюджете каждой стадии. Право остановиться на чекпоинте</t>
  </si>
  <si>
    <t xml:space="preserve">RSK-017</t>
  </si>
  <si>
    <t xml:space="preserve">Конкурент с большими деньгами выходит в нишу СНГ HoReCa</t>
  </si>
  <si>
    <t xml:space="preserve">YC-стартапы не идут в малый СНГ-сегмент. При появлении — быстрый pivot в EE/PL или вертикальное углубление</t>
  </si>
  <si>
    <t xml:space="preserve">RSK-018</t>
  </si>
  <si>
    <t xml:space="preserve">Невозможность нанять customer success в Беларуси на парт-тайм $600/мес</t>
  </si>
  <si>
    <t xml:space="preserve">Альтернатива — фрилансер удалённо, выпускник вуза без опыта (обучение), либо повышение цены до конкурентной</t>
  </si>
  <si>
    <t xml:space="preserve">Budget — финансовая модель по стадиям</t>
  </si>
  <si>
    <t xml:space="preserve">Расходы по статьям и стадиям. Все суммы в USD. Колонка Cumulative — сумма с начала проекта. Стадии 3+ должны быть cash-flow positive из MRR.</t>
  </si>
  <si>
    <t xml:space="preserve">Cost_Category</t>
  </si>
  <si>
    <t xml:space="preserve">Total</t>
  </si>
  <si>
    <t xml:space="preserve">Инфраструктура (хостинг, БД)</t>
  </si>
  <si>
    <t xml:space="preserve">LLM API (Claude/OpenAI)</t>
  </si>
  <si>
    <t xml:space="preserve">Внешние API (погода, события)</t>
  </si>
  <si>
    <t xml:space="preserve">POS API (если платно)</t>
  </si>
  <si>
    <t xml:space="preserve">Java BE парт-тайм</t>
  </si>
  <si>
    <t xml:space="preserve">QA парт-тайм</t>
  </si>
  <si>
    <t xml:space="preserve">Customer Success парт-тайм</t>
  </si>
  <si>
    <t xml:space="preserve">Маркетинг и реклама</t>
  </si>
  <si>
    <t xml:space="preserve">Юр.+бух.</t>
  </si>
  <si>
    <t xml:space="preserve">Резерв (непредвиденное)</t>
  </si>
  <si>
    <t xml:space="preserve">ИТОГО по стадии</t>
  </si>
  <si>
    <t xml:space="preserve">Cumulative (накопительно)</t>
  </si>
  <si>
    <t xml:space="preserve">ИСТОЧНИК ФИНАНСИРОВАНИЯ</t>
  </si>
  <si>
    <t xml:space="preserve">Bootstrap (стартовый капитал)</t>
  </si>
  <si>
    <t xml:space="preserve">$0</t>
  </si>
  <si>
    <t xml:space="preserve">$4,500</t>
  </si>
  <si>
    <t xml:space="preserve">$2,800</t>
  </si>
  <si>
    <t xml:space="preserve">Из MRR (cash flow)</t>
  </si>
  <si>
    <t xml:space="preserve">$3,900</t>
  </si>
  <si>
    <t xml:space="preserve">$8,600</t>
  </si>
  <si>
    <t xml:space="preserve">$15,000</t>
  </si>
  <si>
    <t xml:space="preserve">Внешнее финансирование (опционально)</t>
  </si>
  <si>
    <t xml:space="preserve">При необходимости</t>
  </si>
  <si>
    <t xml:space="preserve">ВАЖНЫЕ ЗАМЕЧАНИЯ</t>
  </si>
  <si>
    <t xml:space="preserve">1. Подушка безопасности семьи (&gt;6 мес расходов) НЕ затронута. Это страховка, не источник финансирования.</t>
  </si>
  <si>
    <t xml:space="preserve">2. STG-3+ финансируются из MRR. Если cash flow негативный — стадия не запускается без пересмотра.</t>
  </si>
  <si>
    <t xml:space="preserve">3. Время основателя НЕ оценено в деньгах. 960 ч/год альтернативной стоимости — ~$8K при $8.5/ч фриланса.</t>
  </si>
  <si>
    <t xml:space="preserve">4. STG-5 (Marketplace) — единственная стадия, где возможно внешнее финансирование (angel/venture debt) при сильной траектории.</t>
  </si>
  <si>
    <t xml:space="preserve">5. Java BE парт-тайм оценён по $10/ч (восточно-европейский локальный рейт). При найме контрактора из EU/US — пересчитать.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</si>
</sst>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;&quot;($&quot;#,##0\);\-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A5F"/>
      <name val="Arial"/>
      <family val="0"/>
      <charset val="1"/>
    </font>
    <font>
      <i val="true"/>
      <sz val="11"/>
      <color rgb="FF7A7268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0"/>
      <color rgb="FF2D5F3F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10"/>
      <color rgb="FF7A72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9"/>
      <color rgb="FF1F3A5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8B2E2E"/>
      <name val="Arial"/>
      <family val="0"/>
      <charset val="1"/>
    </font>
    <font>
      <sz val="9"/>
      <color rgb="FFB8860B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7A7268"/>
      <name val="Arial"/>
      <family val="0"/>
      <charset val="1"/>
    </font>
    <font>
      <sz val="10"/>
      <color rgb="FF1F3A5F"/>
      <name val="Arial"/>
      <family val="0"/>
      <charset val="1"/>
    </font>
    <font>
      <sz val="10"/>
      <color rgb="FF2D5F3F"/>
      <name val="Arial"/>
      <family val="0"/>
      <charset val="1"/>
    </font>
    <font>
      <sz val="10"/>
      <color rgb="FF8B2E2E"/>
      <name val="Arial"/>
      <family val="0"/>
      <charset val="1"/>
    </font>
    <font>
      <sz val="10"/>
      <color rgb="FFB8860B"/>
      <name val="Arial"/>
      <family val="0"/>
      <charset val="1"/>
    </font>
    <font>
      <b val="true"/>
      <i val="true"/>
      <sz val="10"/>
      <color rgb="FFB8860B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5DCE6"/>
        <bgColor rgb="FFCCCCCC"/>
      </patternFill>
    </fill>
    <fill>
      <patternFill patternType="solid">
        <fgColor rgb="FF1F3A5F"/>
        <bgColor rgb="FF333399"/>
      </patternFill>
    </fill>
    <fill>
      <patternFill patternType="solid">
        <fgColor rgb="FFF8FAFB"/>
        <bgColor rgb="FFFFFFFF"/>
      </patternFill>
    </fill>
    <fill>
      <patternFill patternType="solid">
        <fgColor rgb="FFFFF8E1"/>
        <bgColor rgb="FFF8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7A7268"/>
      <rgbColor rgb="FF9999FF"/>
      <rgbColor rgb="FF993366"/>
      <rgbColor rgb="FFFFF8E1"/>
      <rgbColor rgb="FFF8FAFB"/>
      <rgbColor rgb="FF660066"/>
      <rgbColor rgb="FFFF8080"/>
      <rgbColor rgb="FF0066CC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8B2E2E"/>
      <rgbColor rgb="FF993366"/>
      <rgbColor rgb="FF333399"/>
      <rgbColor rgb="FF2D5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31.5" hidden="false" customHeight="true" outlineLevel="0" collapsed="false">
      <c r="A1" s="1" t="s">
        <v>0</v>
      </c>
    </row>
    <row r="2" customFormat="false" ht="21.75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5" t="s">
        <v>4</v>
      </c>
    </row>
    <row r="6" customFormat="false" ht="18" hidden="false" customHeight="true" outlineLevel="0" collapsed="false">
      <c r="A6" s="4" t="s">
        <v>5</v>
      </c>
      <c r="B6" s="5" t="s">
        <v>6</v>
      </c>
    </row>
    <row r="7" customFormat="false" ht="18" hidden="false" customHeight="true" outlineLevel="0" collapsed="false">
      <c r="A7" s="4" t="s">
        <v>7</v>
      </c>
      <c r="B7" s="5" t="s">
        <v>8</v>
      </c>
    </row>
    <row r="8" customFormat="false" ht="18" hidden="false" customHeight="true" outlineLevel="0" collapsed="false">
      <c r="A8" s="4" t="s">
        <v>9</v>
      </c>
      <c r="B8" s="5" t="s">
        <v>10</v>
      </c>
    </row>
    <row r="9" customFormat="false" ht="18" hidden="false" customHeight="true" outlineLevel="0" collapsed="false">
      <c r="A9" s="4" t="s">
        <v>11</v>
      </c>
      <c r="B9" s="5" t="s">
        <v>12</v>
      </c>
    </row>
    <row r="10" customFormat="false" ht="18" hidden="false" customHeight="true" outlineLevel="0" collapsed="false">
      <c r="A10" s="4" t="s">
        <v>13</v>
      </c>
      <c r="B10" s="5" t="s">
        <v>14</v>
      </c>
    </row>
    <row r="11" customFormat="false" ht="18" hidden="false" customHeight="true" outlineLevel="0" collapsed="false">
      <c r="A11" s="4" t="s">
        <v>15</v>
      </c>
      <c r="B11" s="5" t="s">
        <v>16</v>
      </c>
    </row>
    <row r="12" customFormat="false" ht="18" hidden="false" customHeight="true" outlineLevel="0" collapsed="false">
      <c r="A12" s="4" t="s">
        <v>17</v>
      </c>
      <c r="B12" s="5" t="s">
        <v>18</v>
      </c>
    </row>
    <row r="13" customFormat="false" ht="18" hidden="false" customHeight="true" outlineLevel="0" collapsed="false">
      <c r="A13" s="4" t="s">
        <v>19</v>
      </c>
      <c r="B13" s="5" t="s">
        <v>20</v>
      </c>
    </row>
    <row r="14" customFormat="false" ht="18" hidden="false" customHeight="true" outlineLevel="0" collapsed="false">
      <c r="A14" s="4" t="s">
        <v>21</v>
      </c>
      <c r="B14" s="5" t="s">
        <v>22</v>
      </c>
    </row>
    <row r="16" customFormat="false" ht="15" hidden="false" customHeight="false" outlineLevel="0" collapsed="false">
      <c r="A16" s="3" t="s">
        <v>23</v>
      </c>
      <c r="B16" s="3"/>
    </row>
    <row r="17" customFormat="false" ht="18" hidden="false" customHeight="true" outlineLevel="0" collapsed="false">
      <c r="A17" s="6" t="s">
        <v>24</v>
      </c>
      <c r="B17" s="5" t="s">
        <v>25</v>
      </c>
    </row>
    <row r="18" customFormat="false" ht="18" hidden="false" customHeight="true" outlineLevel="0" collapsed="false">
      <c r="A18" s="6" t="s">
        <v>26</v>
      </c>
      <c r="B18" s="5" t="s">
        <v>27</v>
      </c>
    </row>
    <row r="19" customFormat="false" ht="18" hidden="false" customHeight="true" outlineLevel="0" collapsed="false">
      <c r="A19" s="6" t="s">
        <v>28</v>
      </c>
      <c r="B19" s="5" t="s">
        <v>29</v>
      </c>
    </row>
    <row r="20" customFormat="false" ht="18" hidden="false" customHeight="true" outlineLevel="0" collapsed="false">
      <c r="A20" s="6" t="s">
        <v>30</v>
      </c>
      <c r="B20" s="5" t="s">
        <v>31</v>
      </c>
    </row>
    <row r="21" customFormat="false" ht="18" hidden="false" customHeight="true" outlineLevel="0" collapsed="false">
      <c r="A21" s="6" t="s">
        <v>32</v>
      </c>
      <c r="B21" s="5" t="s">
        <v>33</v>
      </c>
    </row>
    <row r="22" customFormat="false" ht="18" hidden="false" customHeight="true" outlineLevel="0" collapsed="false">
      <c r="A22" s="6" t="s">
        <v>34</v>
      </c>
      <c r="B22" s="5" t="s">
        <v>35</v>
      </c>
    </row>
    <row r="24" customFormat="false" ht="15" hidden="false" customHeight="false" outlineLevel="0" collapsed="false">
      <c r="A24" s="3" t="s">
        <v>36</v>
      </c>
      <c r="B24" s="3"/>
    </row>
    <row r="25" customFormat="false" ht="27.75" hidden="false" customHeight="true" outlineLevel="0" collapsed="false">
      <c r="A25" s="4" t="s">
        <v>37</v>
      </c>
      <c r="B25" s="5" t="s">
        <v>38</v>
      </c>
    </row>
    <row r="26" customFormat="false" ht="27.75" hidden="false" customHeight="true" outlineLevel="0" collapsed="false">
      <c r="A26" s="4" t="s">
        <v>39</v>
      </c>
      <c r="B26" s="5" t="s">
        <v>40</v>
      </c>
    </row>
    <row r="27" customFormat="false" ht="27.75" hidden="false" customHeight="true" outlineLevel="0" collapsed="false">
      <c r="A27" s="4" t="s">
        <v>41</v>
      </c>
      <c r="B27" s="5" t="s">
        <v>42</v>
      </c>
    </row>
    <row r="28" customFormat="false" ht="27.75" hidden="false" customHeight="true" outlineLevel="0" collapsed="false">
      <c r="A28" s="4" t="s">
        <v>43</v>
      </c>
      <c r="B28" s="5" t="s">
        <v>44</v>
      </c>
    </row>
    <row r="29" customFormat="false" ht="27.75" hidden="false" customHeight="true" outlineLevel="0" collapsed="false">
      <c r="A29" s="4" t="s">
        <v>45</v>
      </c>
      <c r="B29" s="5" t="s">
        <v>46</v>
      </c>
    </row>
    <row r="30" customFormat="false" ht="15.75" hidden="false" customHeight="true" outlineLevel="0" collapsed="false">
      <c r="A30" s="4" t="s">
        <v>47</v>
      </c>
      <c r="B30" s="5" t="s">
        <v>48</v>
      </c>
    </row>
    <row r="31" customFormat="false" ht="27.75" hidden="false" customHeight="true" outlineLevel="0" collapsed="false">
      <c r="A31" s="4" t="s">
        <v>49</v>
      </c>
      <c r="B31" s="5" t="s">
        <v>50</v>
      </c>
    </row>
    <row r="32" customFormat="false" ht="27.75" hidden="false" customHeight="true" outlineLevel="0" collapsed="false">
      <c r="A32" s="4" t="s">
        <v>51</v>
      </c>
      <c r="B32" s="5" t="s">
        <v>52</v>
      </c>
    </row>
    <row r="33" customFormat="false" ht="27.75" hidden="false" customHeight="true" outlineLevel="0" collapsed="false">
      <c r="A33" s="4" t="s">
        <v>53</v>
      </c>
      <c r="B33" s="5" t="s">
        <v>54</v>
      </c>
    </row>
    <row r="34" customFormat="false" ht="27.75" hidden="false" customHeight="true" outlineLevel="0" collapsed="false">
      <c r="A34" s="4" t="s">
        <v>55</v>
      </c>
      <c r="B34" s="5" t="s">
        <v>56</v>
      </c>
    </row>
    <row r="35" customFormat="false" ht="27.75" hidden="false" customHeight="true" outlineLevel="0" collapsed="false">
      <c r="A35" s="4" t="s">
        <v>57</v>
      </c>
      <c r="B35" s="5" t="s">
        <v>58</v>
      </c>
    </row>
    <row r="36" customFormat="false" ht="27.75" hidden="false" customHeight="true" outlineLevel="0" collapsed="false">
      <c r="A36" s="4" t="s">
        <v>59</v>
      </c>
      <c r="B36" s="5" t="s">
        <v>60</v>
      </c>
    </row>
    <row r="37" customFormat="false" ht="15.75" hidden="false" customHeight="true" outlineLevel="0" collapsed="false">
      <c r="A37" s="4" t="s">
        <v>61</v>
      </c>
      <c r="B37" s="5" t="s">
        <v>62</v>
      </c>
    </row>
    <row r="38" customFormat="false" ht="15.75" hidden="false" customHeight="true" outlineLevel="0" collapsed="false">
      <c r="A38" s="4" t="s">
        <v>63</v>
      </c>
      <c r="B38" s="5" t="s">
        <v>64</v>
      </c>
    </row>
    <row r="39" customFormat="false" ht="15.75" hidden="false" customHeight="true" outlineLevel="0" collapsed="false">
      <c r="A39" s="4" t="s">
        <v>65</v>
      </c>
      <c r="B39" s="5" t="s">
        <v>66</v>
      </c>
    </row>
    <row r="40" customFormat="false" ht="15.75" hidden="false" customHeight="true" outlineLevel="0" collapsed="false">
      <c r="A40" s="4" t="s">
        <v>67</v>
      </c>
      <c r="B40" s="5" t="s">
        <v>68</v>
      </c>
    </row>
    <row r="41" customFormat="false" ht="15.75" hidden="false" customHeight="true" outlineLevel="0" collapsed="false">
      <c r="A41" s="4" t="s">
        <v>69</v>
      </c>
      <c r="B41" s="5" t="s">
        <v>70</v>
      </c>
    </row>
    <row r="42" customFormat="false" ht="15.75" hidden="false" customHeight="true" outlineLevel="0" collapsed="false">
      <c r="A42" s="4" t="s">
        <v>71</v>
      </c>
      <c r="B42" s="5" t="s">
        <v>72</v>
      </c>
    </row>
    <row r="43" customFormat="false" ht="15.75" hidden="false" customHeight="true" outlineLevel="0" collapsed="false">
      <c r="A43" s="4" t="s">
        <v>73</v>
      </c>
      <c r="B43" s="5" t="s">
        <v>74</v>
      </c>
    </row>
    <row r="44" customFormat="false" ht="15.75" hidden="false" customHeight="true" outlineLevel="0" collapsed="false">
      <c r="A44" s="4" t="s">
        <v>75</v>
      </c>
      <c r="B44" s="5" t="s">
        <v>76</v>
      </c>
    </row>
    <row r="45" customFormat="false" ht="27.75" hidden="false" customHeight="true" outlineLevel="0" collapsed="false">
      <c r="A45" s="4" t="s">
        <v>77</v>
      </c>
      <c r="B45" s="5" t="s">
        <v>78</v>
      </c>
    </row>
    <row r="46" customFormat="false" ht="15.75" hidden="false" customHeight="true" outlineLevel="0" collapsed="false">
      <c r="A46" s="4" t="s">
        <v>79</v>
      </c>
      <c r="B46" s="5" t="s">
        <v>80</v>
      </c>
    </row>
    <row r="47" customFormat="false" ht="15.75" hidden="false" customHeight="true" outlineLevel="0" collapsed="false">
      <c r="A47" s="4" t="s">
        <v>81</v>
      </c>
      <c r="B47" s="5" t="s">
        <v>82</v>
      </c>
    </row>
    <row r="49" customFormat="false" ht="15" hidden="false" customHeight="false" outlineLevel="0" collapsed="false">
      <c r="A49" s="3" t="s">
        <v>83</v>
      </c>
      <c r="B49" s="3"/>
    </row>
    <row r="50" customFormat="false" ht="27.75" hidden="false" customHeight="true" outlineLevel="0" collapsed="false">
      <c r="A50" s="7" t="s">
        <v>84</v>
      </c>
      <c r="B50" s="5" t="s">
        <v>85</v>
      </c>
    </row>
    <row r="51" customFormat="false" ht="27.75" hidden="false" customHeight="true" outlineLevel="0" collapsed="false">
      <c r="A51" s="7" t="s">
        <v>86</v>
      </c>
      <c r="B51" s="5" t="s">
        <v>87</v>
      </c>
    </row>
    <row r="52" customFormat="false" ht="27.75" hidden="false" customHeight="true" outlineLevel="0" collapsed="false">
      <c r="A52" s="7" t="s">
        <v>88</v>
      </c>
      <c r="B52" s="5" t="s">
        <v>89</v>
      </c>
    </row>
    <row r="53" customFormat="false" ht="27.75" hidden="false" customHeight="true" outlineLevel="0" collapsed="false">
      <c r="A53" s="7" t="s">
        <v>90</v>
      </c>
      <c r="B53" s="5" t="s">
        <v>91</v>
      </c>
    </row>
    <row r="54" customFormat="false" ht="27.75" hidden="false" customHeight="true" outlineLevel="0" collapsed="false">
      <c r="A54" s="7" t="s">
        <v>92</v>
      </c>
      <c r="B54" s="5" t="s">
        <v>93</v>
      </c>
    </row>
    <row r="55" customFormat="false" ht="27.75" hidden="false" customHeight="true" outlineLevel="0" collapsed="false">
      <c r="A55" s="7" t="s">
        <v>94</v>
      </c>
      <c r="B55" s="5" t="s">
        <v>95</v>
      </c>
    </row>
    <row r="56" customFormat="false" ht="27.75" hidden="false" customHeight="true" outlineLevel="0" collapsed="false">
      <c r="A56" s="7" t="s">
        <v>96</v>
      </c>
      <c r="B56" s="5" t="s">
        <v>97</v>
      </c>
    </row>
    <row r="57" customFormat="false" ht="27.75" hidden="false" customHeight="true" outlineLevel="0" collapsed="false">
      <c r="A57" s="7" t="s">
        <v>98</v>
      </c>
      <c r="B57" s="5" t="s">
        <v>99</v>
      </c>
    </row>
  </sheetData>
  <mergeCells count="4">
    <mergeCell ref="A4:B4"/>
    <mergeCell ref="A16:B16"/>
    <mergeCell ref="A24:B24"/>
    <mergeCell ref="A49:B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10" min="8" style="0" width="12"/>
    <col collapsed="false" customWidth="true" hidden="false" outlineLevel="0" max="11" min="11" style="0" width="50"/>
  </cols>
  <sheetData>
    <row r="1" customFormat="false" ht="24" hidden="false" customHeight="true" outlineLevel="0" collapsed="false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1.75" hidden="false" customHeight="true" outlineLevel="0" collapsed="false">
      <c r="A2" s="9" t="s">
        <v>101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customFormat="false" ht="43.5" hidden="false" customHeight="true" outlineLevel="0" collapsed="false">
      <c r="A4" s="10" t="s">
        <v>102</v>
      </c>
      <c r="B4" s="10" t="s">
        <v>103</v>
      </c>
      <c r="C4" s="10" t="s">
        <v>104</v>
      </c>
      <c r="D4" s="10" t="s">
        <v>105</v>
      </c>
      <c r="E4" s="10" t="s">
        <v>106</v>
      </c>
      <c r="F4" s="10" t="s">
        <v>107</v>
      </c>
      <c r="G4" s="10" t="s">
        <v>108</v>
      </c>
      <c r="H4" s="10" t="s">
        <v>109</v>
      </c>
      <c r="I4" s="10" t="s">
        <v>110</v>
      </c>
      <c r="J4" s="10" t="s">
        <v>111</v>
      </c>
      <c r="K4" s="10" t="s">
        <v>112</v>
      </c>
    </row>
    <row r="5" customFormat="false" ht="81.75" hidden="false" customHeight="true" outlineLevel="0" collapsed="false">
      <c r="A5" s="11" t="s">
        <v>113</v>
      </c>
      <c r="B5" s="12" t="s">
        <v>114</v>
      </c>
      <c r="C5" s="13" t="s">
        <v>115</v>
      </c>
      <c r="D5" s="13" t="n">
        <v>2</v>
      </c>
      <c r="E5" s="13" t="n">
        <v>0</v>
      </c>
      <c r="F5" s="13" t="n">
        <v>0</v>
      </c>
      <c r="G5" s="13" t="s">
        <v>116</v>
      </c>
      <c r="H5" s="13" t="s">
        <v>117</v>
      </c>
      <c r="I5" s="13" t="s">
        <v>118</v>
      </c>
      <c r="J5" s="13" t="s">
        <v>119</v>
      </c>
      <c r="K5" s="13" t="s">
        <v>120</v>
      </c>
    </row>
    <row r="6" customFormat="false" ht="81.75" hidden="false" customHeight="true" outlineLevel="0" collapsed="false">
      <c r="A6" s="14" t="s">
        <v>121</v>
      </c>
      <c r="B6" s="15" t="s">
        <v>122</v>
      </c>
      <c r="C6" s="16" t="s">
        <v>123</v>
      </c>
      <c r="D6" s="16" t="n">
        <v>14</v>
      </c>
      <c r="E6" s="16" t="n">
        <v>4500</v>
      </c>
      <c r="F6" s="16" t="n">
        <v>3</v>
      </c>
      <c r="G6" s="16" t="s">
        <v>124</v>
      </c>
      <c r="H6" s="16" t="s">
        <v>117</v>
      </c>
      <c r="I6" s="16" t="s">
        <v>119</v>
      </c>
      <c r="J6" s="16" t="s">
        <v>125</v>
      </c>
      <c r="K6" s="16" t="s">
        <v>126</v>
      </c>
    </row>
    <row r="7" customFormat="false" ht="81.75" hidden="false" customHeight="true" outlineLevel="0" collapsed="false">
      <c r="A7" s="11" t="s">
        <v>127</v>
      </c>
      <c r="B7" s="12" t="s">
        <v>128</v>
      </c>
      <c r="C7" s="13" t="s">
        <v>129</v>
      </c>
      <c r="D7" s="13" t="n">
        <v>12</v>
      </c>
      <c r="E7" s="13" t="n">
        <v>2800</v>
      </c>
      <c r="F7" s="13" t="n">
        <v>13</v>
      </c>
      <c r="G7" s="13" t="s">
        <v>130</v>
      </c>
      <c r="H7" s="13" t="s">
        <v>117</v>
      </c>
      <c r="I7" s="13" t="s">
        <v>125</v>
      </c>
      <c r="J7" s="13" t="s">
        <v>131</v>
      </c>
      <c r="K7" s="13" t="s">
        <v>132</v>
      </c>
    </row>
    <row r="8" customFormat="false" ht="81.75" hidden="false" customHeight="true" outlineLevel="0" collapsed="false">
      <c r="A8" s="14" t="s">
        <v>133</v>
      </c>
      <c r="B8" s="15" t="s">
        <v>134</v>
      </c>
      <c r="C8" s="16" t="s">
        <v>135</v>
      </c>
      <c r="D8" s="16" t="n">
        <v>16</v>
      </c>
      <c r="E8" s="16" t="n">
        <v>3900</v>
      </c>
      <c r="F8" s="16" t="n">
        <v>40</v>
      </c>
      <c r="G8" s="16" t="s">
        <v>136</v>
      </c>
      <c r="H8" s="16" t="s">
        <v>117</v>
      </c>
      <c r="I8" s="16" t="s">
        <v>131</v>
      </c>
      <c r="J8" s="16" t="s">
        <v>137</v>
      </c>
      <c r="K8" s="16" t="s">
        <v>138</v>
      </c>
    </row>
    <row r="9" customFormat="false" ht="81.75" hidden="false" customHeight="true" outlineLevel="0" collapsed="false">
      <c r="A9" s="11" t="s">
        <v>139</v>
      </c>
      <c r="B9" s="12" t="s">
        <v>140</v>
      </c>
      <c r="C9" s="13" t="s">
        <v>141</v>
      </c>
      <c r="D9" s="13" t="n">
        <v>20</v>
      </c>
      <c r="E9" s="13" t="n">
        <v>8600</v>
      </c>
      <c r="F9" s="13" t="n">
        <v>100</v>
      </c>
      <c r="G9" s="13" t="s">
        <v>142</v>
      </c>
      <c r="H9" s="13" t="s">
        <v>117</v>
      </c>
      <c r="I9" s="13" t="s">
        <v>137</v>
      </c>
      <c r="J9" s="13" t="s">
        <v>143</v>
      </c>
      <c r="K9" s="13" t="s">
        <v>144</v>
      </c>
    </row>
    <row r="10" customFormat="false" ht="81.75" hidden="false" customHeight="true" outlineLevel="0" collapsed="false">
      <c r="A10" s="14" t="s">
        <v>145</v>
      </c>
      <c r="B10" s="15" t="s">
        <v>146</v>
      </c>
      <c r="C10" s="16" t="s">
        <v>147</v>
      </c>
      <c r="D10" s="16" t="n">
        <v>24</v>
      </c>
      <c r="E10" s="16" t="n">
        <v>15000</v>
      </c>
      <c r="F10" s="16" t="n">
        <v>200</v>
      </c>
      <c r="G10" s="16" t="s">
        <v>148</v>
      </c>
      <c r="H10" s="16" t="s">
        <v>117</v>
      </c>
      <c r="I10" s="16" t="s">
        <v>143</v>
      </c>
      <c r="J10" s="16" t="s">
        <v>149</v>
      </c>
      <c r="K10" s="16" t="s">
        <v>150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60"/>
    <col collapsed="false" customWidth="true" hidden="false" outlineLevel="0" max="7" min="5" style="0" width="1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5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24" hidden="false" customHeight="true" outlineLevel="0" collapsed="false">
      <c r="A1" s="8" t="s">
        <v>151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36" hidden="false" customHeight="true" outlineLevel="0" collapsed="false">
      <c r="A2" s="17" t="s">
        <v>152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customFormat="false" ht="43.5" hidden="false" customHeight="true" outlineLevel="0" collapsed="false">
      <c r="A4" s="10" t="s">
        <v>153</v>
      </c>
      <c r="B4" s="10" t="s">
        <v>102</v>
      </c>
      <c r="C4" s="10" t="s">
        <v>103</v>
      </c>
      <c r="D4" s="10" t="s">
        <v>154</v>
      </c>
      <c r="E4" s="10" t="s">
        <v>155</v>
      </c>
      <c r="F4" s="10" t="s">
        <v>156</v>
      </c>
      <c r="G4" s="10" t="s">
        <v>157</v>
      </c>
      <c r="H4" s="10" t="s">
        <v>158</v>
      </c>
      <c r="I4" s="10" t="s">
        <v>159</v>
      </c>
      <c r="J4" s="10" t="s">
        <v>160</v>
      </c>
      <c r="K4" s="10" t="s">
        <v>109</v>
      </c>
      <c r="L4" s="10" t="s">
        <v>161</v>
      </c>
      <c r="M4" s="10" t="s">
        <v>112</v>
      </c>
    </row>
    <row r="5" customFormat="false" ht="69.75" hidden="false" customHeight="true" outlineLevel="0" collapsed="false">
      <c r="A5" s="18" t="s">
        <v>162</v>
      </c>
      <c r="B5" s="19" t="s">
        <v>113</v>
      </c>
      <c r="C5" s="20" t="s">
        <v>163</v>
      </c>
      <c r="D5" s="19" t="s">
        <v>164</v>
      </c>
      <c r="E5" s="21" t="s">
        <v>165</v>
      </c>
      <c r="F5" s="19" t="n">
        <v>6</v>
      </c>
      <c r="G5" s="19" t="n">
        <v>0</v>
      </c>
      <c r="H5" s="20" t="n">
        <f aca="false">F5+G5</f>
        <v>6</v>
      </c>
      <c r="I5" s="19"/>
      <c r="J5" s="19" t="s">
        <v>166</v>
      </c>
      <c r="K5" s="19" t="s">
        <v>167</v>
      </c>
      <c r="L5" s="19" t="s">
        <v>168</v>
      </c>
      <c r="M5" s="19" t="s">
        <v>169</v>
      </c>
    </row>
    <row r="6" customFormat="false" ht="69.75" hidden="false" customHeight="true" outlineLevel="0" collapsed="false">
      <c r="A6" s="22" t="s">
        <v>170</v>
      </c>
      <c r="B6" s="23" t="s">
        <v>113</v>
      </c>
      <c r="C6" s="24" t="s">
        <v>171</v>
      </c>
      <c r="D6" s="23" t="s">
        <v>172</v>
      </c>
      <c r="E6" s="25" t="s">
        <v>165</v>
      </c>
      <c r="F6" s="23" t="n">
        <v>8</v>
      </c>
      <c r="G6" s="23" t="n">
        <v>0</v>
      </c>
      <c r="H6" s="24" t="n">
        <f aca="false">F6+G6</f>
        <v>8</v>
      </c>
      <c r="I6" s="23" t="s">
        <v>162</v>
      </c>
      <c r="J6" s="23" t="s">
        <v>173</v>
      </c>
      <c r="K6" s="23" t="s">
        <v>167</v>
      </c>
      <c r="L6" s="23" t="s">
        <v>168</v>
      </c>
      <c r="M6" s="23" t="s">
        <v>174</v>
      </c>
    </row>
    <row r="7" customFormat="false" ht="69.75" hidden="false" customHeight="true" outlineLevel="0" collapsed="false">
      <c r="A7" s="18" t="s">
        <v>175</v>
      </c>
      <c r="B7" s="19" t="s">
        <v>113</v>
      </c>
      <c r="C7" s="20" t="s">
        <v>176</v>
      </c>
      <c r="D7" s="19" t="s">
        <v>177</v>
      </c>
      <c r="E7" s="21" t="s">
        <v>165</v>
      </c>
      <c r="F7" s="19" t="n">
        <v>14</v>
      </c>
      <c r="G7" s="19" t="n">
        <v>0</v>
      </c>
      <c r="H7" s="20" t="n">
        <f aca="false">F7+G7</f>
        <v>14</v>
      </c>
      <c r="I7" s="19" t="s">
        <v>170</v>
      </c>
      <c r="J7" s="19" t="s">
        <v>178</v>
      </c>
      <c r="K7" s="19" t="s">
        <v>167</v>
      </c>
      <c r="L7" s="19" t="s">
        <v>168</v>
      </c>
      <c r="M7" s="19" t="s">
        <v>179</v>
      </c>
    </row>
    <row r="8" customFormat="false" ht="69.75" hidden="false" customHeight="true" outlineLevel="0" collapsed="false">
      <c r="A8" s="22" t="s">
        <v>180</v>
      </c>
      <c r="B8" s="23" t="s">
        <v>113</v>
      </c>
      <c r="C8" s="24" t="s">
        <v>181</v>
      </c>
      <c r="D8" s="23" t="s">
        <v>182</v>
      </c>
      <c r="E8" s="25" t="s">
        <v>165</v>
      </c>
      <c r="F8" s="23" t="n">
        <v>6</v>
      </c>
      <c r="G8" s="23" t="n">
        <v>0</v>
      </c>
      <c r="H8" s="24" t="n">
        <f aca="false">F8+G8</f>
        <v>6</v>
      </c>
      <c r="I8" s="23" t="s">
        <v>175</v>
      </c>
      <c r="J8" s="23" t="s">
        <v>183</v>
      </c>
      <c r="K8" s="23" t="s">
        <v>167</v>
      </c>
      <c r="L8" s="23" t="s">
        <v>168</v>
      </c>
      <c r="M8" s="23" t="s">
        <v>184</v>
      </c>
    </row>
    <row r="9" customFormat="false" ht="69.75" hidden="false" customHeight="true" outlineLevel="0" collapsed="false">
      <c r="A9" s="18" t="s">
        <v>185</v>
      </c>
      <c r="B9" s="19" t="s">
        <v>121</v>
      </c>
      <c r="C9" s="20" t="s">
        <v>186</v>
      </c>
      <c r="D9" s="19" t="s">
        <v>187</v>
      </c>
      <c r="E9" s="21" t="s">
        <v>165</v>
      </c>
      <c r="F9" s="19" t="n">
        <v>12</v>
      </c>
      <c r="G9" s="19" t="n">
        <v>18</v>
      </c>
      <c r="H9" s="20" t="n">
        <f aca="false">F9+G9</f>
        <v>30</v>
      </c>
      <c r="I9" s="19"/>
      <c r="J9" s="19" t="s">
        <v>188</v>
      </c>
      <c r="K9" s="19" t="s">
        <v>167</v>
      </c>
      <c r="L9" s="19" t="s">
        <v>189</v>
      </c>
      <c r="M9" s="19" t="s">
        <v>190</v>
      </c>
    </row>
    <row r="10" customFormat="false" ht="69.75" hidden="false" customHeight="true" outlineLevel="0" collapsed="false">
      <c r="A10" s="22" t="s">
        <v>191</v>
      </c>
      <c r="B10" s="23" t="s">
        <v>121</v>
      </c>
      <c r="C10" s="24" t="s">
        <v>192</v>
      </c>
      <c r="D10" s="23" t="s">
        <v>193</v>
      </c>
      <c r="E10" s="25" t="s">
        <v>165</v>
      </c>
      <c r="F10" s="23" t="n">
        <v>4</v>
      </c>
      <c r="G10" s="23" t="n">
        <v>38</v>
      </c>
      <c r="H10" s="24" t="n">
        <f aca="false">F10+G10</f>
        <v>42</v>
      </c>
      <c r="I10" s="23" t="s">
        <v>185</v>
      </c>
      <c r="J10" s="23" t="s">
        <v>194</v>
      </c>
      <c r="K10" s="23" t="s">
        <v>167</v>
      </c>
      <c r="L10" s="23" t="s">
        <v>195</v>
      </c>
      <c r="M10" s="23" t="s">
        <v>196</v>
      </c>
    </row>
    <row r="11" customFormat="false" ht="69.75" hidden="false" customHeight="true" outlineLevel="0" collapsed="false">
      <c r="A11" s="18" t="s">
        <v>197</v>
      </c>
      <c r="B11" s="19" t="s">
        <v>121</v>
      </c>
      <c r="C11" s="20" t="s">
        <v>198</v>
      </c>
      <c r="D11" s="19" t="s">
        <v>199</v>
      </c>
      <c r="E11" s="21" t="s">
        <v>165</v>
      </c>
      <c r="F11" s="19" t="n">
        <v>28</v>
      </c>
      <c r="G11" s="19" t="n">
        <v>22</v>
      </c>
      <c r="H11" s="20" t="n">
        <f aca="false">F11+G11</f>
        <v>50</v>
      </c>
      <c r="I11" s="19" t="s">
        <v>191</v>
      </c>
      <c r="J11" s="19" t="s">
        <v>200</v>
      </c>
      <c r="K11" s="19" t="s">
        <v>167</v>
      </c>
      <c r="L11" s="19" t="s">
        <v>189</v>
      </c>
      <c r="M11" s="19" t="s">
        <v>201</v>
      </c>
    </row>
    <row r="12" customFormat="false" ht="69.75" hidden="false" customHeight="true" outlineLevel="0" collapsed="false">
      <c r="A12" s="22" t="s">
        <v>202</v>
      </c>
      <c r="B12" s="23" t="s">
        <v>121</v>
      </c>
      <c r="C12" s="24" t="s">
        <v>203</v>
      </c>
      <c r="D12" s="23" t="s">
        <v>204</v>
      </c>
      <c r="E12" s="25" t="s">
        <v>165</v>
      </c>
      <c r="F12" s="23" t="n">
        <v>36</v>
      </c>
      <c r="G12" s="23" t="n">
        <v>18</v>
      </c>
      <c r="H12" s="24" t="n">
        <f aca="false">F12+G12</f>
        <v>54</v>
      </c>
      <c r="I12" s="23" t="s">
        <v>197</v>
      </c>
      <c r="J12" s="23" t="s">
        <v>205</v>
      </c>
      <c r="K12" s="23" t="s">
        <v>167</v>
      </c>
      <c r="L12" s="23" t="s">
        <v>189</v>
      </c>
      <c r="M12" s="23" t="s">
        <v>206</v>
      </c>
    </row>
    <row r="13" customFormat="false" ht="69.75" hidden="false" customHeight="true" outlineLevel="0" collapsed="false">
      <c r="A13" s="18" t="s">
        <v>207</v>
      </c>
      <c r="B13" s="19" t="s">
        <v>121</v>
      </c>
      <c r="C13" s="20" t="s">
        <v>208</v>
      </c>
      <c r="D13" s="19" t="s">
        <v>209</v>
      </c>
      <c r="E13" s="21" t="s">
        <v>165</v>
      </c>
      <c r="F13" s="19" t="n">
        <v>22</v>
      </c>
      <c r="G13" s="19" t="n">
        <v>14</v>
      </c>
      <c r="H13" s="20" t="n">
        <f aca="false">F13+G13</f>
        <v>36</v>
      </c>
      <c r="I13" s="19" t="s">
        <v>197</v>
      </c>
      <c r="J13" s="19" t="s">
        <v>210</v>
      </c>
      <c r="K13" s="19" t="s">
        <v>167</v>
      </c>
      <c r="L13" s="19" t="s">
        <v>189</v>
      </c>
      <c r="M13" s="19" t="s">
        <v>211</v>
      </c>
    </row>
    <row r="14" customFormat="false" ht="69.75" hidden="false" customHeight="true" outlineLevel="0" collapsed="false">
      <c r="A14" s="22" t="s">
        <v>212</v>
      </c>
      <c r="B14" s="23" t="s">
        <v>121</v>
      </c>
      <c r="C14" s="24" t="s">
        <v>213</v>
      </c>
      <c r="D14" s="23" t="s">
        <v>214</v>
      </c>
      <c r="E14" s="25" t="s">
        <v>165</v>
      </c>
      <c r="F14" s="23" t="n">
        <v>0</v>
      </c>
      <c r="G14" s="23" t="n">
        <v>28</v>
      </c>
      <c r="H14" s="24" t="n">
        <f aca="false">F14+G14</f>
        <v>28</v>
      </c>
      <c r="I14" s="23" t="s">
        <v>202</v>
      </c>
      <c r="J14" s="23" t="s">
        <v>215</v>
      </c>
      <c r="K14" s="23" t="s">
        <v>167</v>
      </c>
      <c r="L14" s="23" t="s">
        <v>195</v>
      </c>
      <c r="M14" s="23" t="s">
        <v>216</v>
      </c>
    </row>
    <row r="15" customFormat="false" ht="69.75" hidden="false" customHeight="true" outlineLevel="0" collapsed="false">
      <c r="A15" s="18" t="s">
        <v>217</v>
      </c>
      <c r="B15" s="19" t="s">
        <v>121</v>
      </c>
      <c r="C15" s="20" t="s">
        <v>218</v>
      </c>
      <c r="D15" s="19" t="s">
        <v>219</v>
      </c>
      <c r="E15" s="21" t="s">
        <v>165</v>
      </c>
      <c r="F15" s="19" t="n">
        <v>0</v>
      </c>
      <c r="G15" s="19" t="n">
        <v>32</v>
      </c>
      <c r="H15" s="20" t="n">
        <f aca="false">F15+G15</f>
        <v>32</v>
      </c>
      <c r="I15" s="19" t="s">
        <v>220</v>
      </c>
      <c r="J15" s="19" t="s">
        <v>221</v>
      </c>
      <c r="K15" s="19" t="s">
        <v>167</v>
      </c>
      <c r="L15" s="19" t="s">
        <v>195</v>
      </c>
      <c r="M15" s="19" t="s">
        <v>222</v>
      </c>
    </row>
    <row r="16" customFormat="false" ht="69.75" hidden="false" customHeight="true" outlineLevel="0" collapsed="false">
      <c r="A16" s="22" t="s">
        <v>223</v>
      </c>
      <c r="B16" s="23" t="s">
        <v>121</v>
      </c>
      <c r="C16" s="24" t="s">
        <v>224</v>
      </c>
      <c r="D16" s="23" t="s">
        <v>225</v>
      </c>
      <c r="E16" s="25" t="s">
        <v>165</v>
      </c>
      <c r="F16" s="23" t="n">
        <v>14</v>
      </c>
      <c r="G16" s="23" t="n">
        <v>38</v>
      </c>
      <c r="H16" s="24" t="n">
        <f aca="false">F16+G16</f>
        <v>52</v>
      </c>
      <c r="I16" s="23" t="s">
        <v>217</v>
      </c>
      <c r="J16" s="23" t="s">
        <v>226</v>
      </c>
      <c r="K16" s="23" t="s">
        <v>167</v>
      </c>
      <c r="L16" s="23" t="s">
        <v>189</v>
      </c>
      <c r="M16" s="23" t="s">
        <v>227</v>
      </c>
    </row>
    <row r="17" customFormat="false" ht="69.75" hidden="false" customHeight="true" outlineLevel="0" collapsed="false">
      <c r="A17" s="18" t="s">
        <v>228</v>
      </c>
      <c r="B17" s="19" t="s">
        <v>121</v>
      </c>
      <c r="C17" s="20" t="s">
        <v>229</v>
      </c>
      <c r="D17" s="19" t="s">
        <v>230</v>
      </c>
      <c r="E17" s="21" t="s">
        <v>165</v>
      </c>
      <c r="F17" s="19" t="n">
        <v>8</v>
      </c>
      <c r="G17" s="19" t="n">
        <v>16</v>
      </c>
      <c r="H17" s="20" t="n">
        <f aca="false">F17+G17</f>
        <v>24</v>
      </c>
      <c r="I17" s="19" t="s">
        <v>217</v>
      </c>
      <c r="J17" s="19" t="s">
        <v>231</v>
      </c>
      <c r="K17" s="19" t="s">
        <v>167</v>
      </c>
      <c r="L17" s="19" t="s">
        <v>189</v>
      </c>
      <c r="M17" s="19" t="s">
        <v>232</v>
      </c>
    </row>
    <row r="18" customFormat="false" ht="69.75" hidden="false" customHeight="true" outlineLevel="0" collapsed="false">
      <c r="A18" s="22" t="s">
        <v>233</v>
      </c>
      <c r="B18" s="23" t="s">
        <v>121</v>
      </c>
      <c r="C18" s="24" t="s">
        <v>234</v>
      </c>
      <c r="D18" s="23" t="s">
        <v>235</v>
      </c>
      <c r="E18" s="25" t="s">
        <v>165</v>
      </c>
      <c r="F18" s="23" t="n">
        <v>32</v>
      </c>
      <c r="G18" s="23" t="n">
        <v>6</v>
      </c>
      <c r="H18" s="24" t="n">
        <f aca="false">F18+G18</f>
        <v>38</v>
      </c>
      <c r="I18" s="23" t="s">
        <v>236</v>
      </c>
      <c r="J18" s="23" t="s">
        <v>237</v>
      </c>
      <c r="K18" s="23" t="s">
        <v>167</v>
      </c>
      <c r="L18" s="23" t="s">
        <v>168</v>
      </c>
      <c r="M18" s="23" t="s">
        <v>238</v>
      </c>
    </row>
    <row r="19" customFormat="false" ht="69.75" hidden="false" customHeight="true" outlineLevel="0" collapsed="false">
      <c r="A19" s="18" t="s">
        <v>239</v>
      </c>
      <c r="B19" s="19" t="s">
        <v>121</v>
      </c>
      <c r="C19" s="20" t="s">
        <v>240</v>
      </c>
      <c r="D19" s="19" t="s">
        <v>241</v>
      </c>
      <c r="E19" s="26" t="s">
        <v>242</v>
      </c>
      <c r="F19" s="19" t="n">
        <v>12</v>
      </c>
      <c r="G19" s="19" t="n">
        <v>8</v>
      </c>
      <c r="H19" s="20" t="n">
        <f aca="false">F19+G19</f>
        <v>20</v>
      </c>
      <c r="I19" s="19" t="s">
        <v>191</v>
      </c>
      <c r="J19" s="19" t="s">
        <v>243</v>
      </c>
      <c r="K19" s="19" t="s">
        <v>167</v>
      </c>
      <c r="L19" s="19" t="s">
        <v>168</v>
      </c>
      <c r="M19" s="19" t="s">
        <v>244</v>
      </c>
    </row>
    <row r="20" customFormat="false" ht="69.75" hidden="false" customHeight="true" outlineLevel="0" collapsed="false">
      <c r="A20" s="22" t="s">
        <v>245</v>
      </c>
      <c r="B20" s="23" t="s">
        <v>121</v>
      </c>
      <c r="C20" s="24" t="s">
        <v>246</v>
      </c>
      <c r="D20" s="23" t="s">
        <v>247</v>
      </c>
      <c r="E20" s="25" t="s">
        <v>165</v>
      </c>
      <c r="F20" s="23" t="n">
        <v>24</v>
      </c>
      <c r="G20" s="23" t="n">
        <v>12</v>
      </c>
      <c r="H20" s="24" t="n">
        <f aca="false">F20+G20</f>
        <v>36</v>
      </c>
      <c r="I20" s="23" t="s">
        <v>248</v>
      </c>
      <c r="J20" s="23" t="s">
        <v>249</v>
      </c>
      <c r="K20" s="23" t="s">
        <v>167</v>
      </c>
      <c r="L20" s="23" t="s">
        <v>189</v>
      </c>
      <c r="M20" s="23" t="s">
        <v>250</v>
      </c>
    </row>
    <row r="21" customFormat="false" ht="69.75" hidden="false" customHeight="true" outlineLevel="0" collapsed="false">
      <c r="A21" s="18" t="s">
        <v>251</v>
      </c>
      <c r="B21" s="19" t="s">
        <v>121</v>
      </c>
      <c r="C21" s="20" t="s">
        <v>252</v>
      </c>
      <c r="D21" s="19" t="s">
        <v>253</v>
      </c>
      <c r="E21" s="21" t="s">
        <v>165</v>
      </c>
      <c r="F21" s="19" t="n">
        <v>18</v>
      </c>
      <c r="G21" s="19" t="n">
        <v>8</v>
      </c>
      <c r="H21" s="20" t="n">
        <f aca="false">F21+G21</f>
        <v>26</v>
      </c>
      <c r="I21" s="19" t="s">
        <v>254</v>
      </c>
      <c r="J21" s="19" t="s">
        <v>255</v>
      </c>
      <c r="K21" s="19" t="s">
        <v>167</v>
      </c>
      <c r="L21" s="19" t="s">
        <v>189</v>
      </c>
      <c r="M21" s="19" t="s">
        <v>256</v>
      </c>
    </row>
    <row r="22" customFormat="false" ht="69.75" hidden="false" customHeight="true" outlineLevel="0" collapsed="false">
      <c r="A22" s="22" t="s">
        <v>257</v>
      </c>
      <c r="B22" s="23" t="s">
        <v>121</v>
      </c>
      <c r="C22" s="24" t="s">
        <v>258</v>
      </c>
      <c r="D22" s="23" t="s">
        <v>259</v>
      </c>
      <c r="E22" s="25" t="s">
        <v>165</v>
      </c>
      <c r="F22" s="23" t="n">
        <v>30</v>
      </c>
      <c r="G22" s="23" t="n">
        <v>30</v>
      </c>
      <c r="H22" s="24" t="n">
        <f aca="false">F22+G22</f>
        <v>60</v>
      </c>
      <c r="I22" s="23" t="s">
        <v>260</v>
      </c>
      <c r="J22" s="23" t="s">
        <v>261</v>
      </c>
      <c r="K22" s="23" t="s">
        <v>167</v>
      </c>
      <c r="L22" s="23" t="s">
        <v>189</v>
      </c>
      <c r="M22" s="23" t="s">
        <v>262</v>
      </c>
    </row>
    <row r="23" customFormat="false" ht="69.75" hidden="false" customHeight="true" outlineLevel="0" collapsed="false">
      <c r="A23" s="18" t="s">
        <v>263</v>
      </c>
      <c r="B23" s="19" t="s">
        <v>127</v>
      </c>
      <c r="C23" s="20" t="s">
        <v>264</v>
      </c>
      <c r="D23" s="19" t="s">
        <v>265</v>
      </c>
      <c r="E23" s="21" t="s">
        <v>165</v>
      </c>
      <c r="F23" s="19" t="n">
        <v>18</v>
      </c>
      <c r="G23" s="19" t="n">
        <v>28</v>
      </c>
      <c r="H23" s="20" t="n">
        <f aca="false">F23+G23</f>
        <v>46</v>
      </c>
      <c r="I23" s="19"/>
      <c r="J23" s="19" t="s">
        <v>266</v>
      </c>
      <c r="K23" s="19" t="s">
        <v>167</v>
      </c>
      <c r="L23" s="19" t="s">
        <v>189</v>
      </c>
      <c r="M23" s="19" t="s">
        <v>267</v>
      </c>
    </row>
    <row r="24" customFormat="false" ht="69.75" hidden="false" customHeight="true" outlineLevel="0" collapsed="false">
      <c r="A24" s="22" t="s">
        <v>268</v>
      </c>
      <c r="B24" s="23" t="s">
        <v>127</v>
      </c>
      <c r="C24" s="24" t="s">
        <v>269</v>
      </c>
      <c r="D24" s="23" t="s">
        <v>270</v>
      </c>
      <c r="E24" s="25" t="s">
        <v>165</v>
      </c>
      <c r="F24" s="23" t="n">
        <v>36</v>
      </c>
      <c r="G24" s="23" t="n">
        <v>18</v>
      </c>
      <c r="H24" s="24" t="n">
        <f aca="false">F24+G24</f>
        <v>54</v>
      </c>
      <c r="I24" s="23"/>
      <c r="J24" s="23" t="s">
        <v>271</v>
      </c>
      <c r="K24" s="23" t="s">
        <v>167</v>
      </c>
      <c r="L24" s="23" t="s">
        <v>168</v>
      </c>
      <c r="M24" s="23" t="s">
        <v>272</v>
      </c>
    </row>
    <row r="25" customFormat="false" ht="69.75" hidden="false" customHeight="true" outlineLevel="0" collapsed="false">
      <c r="A25" s="18" t="s">
        <v>273</v>
      </c>
      <c r="B25" s="19" t="s">
        <v>127</v>
      </c>
      <c r="C25" s="20" t="s">
        <v>274</v>
      </c>
      <c r="D25" s="19" t="s">
        <v>275</v>
      </c>
      <c r="E25" s="26" t="s">
        <v>242</v>
      </c>
      <c r="F25" s="19" t="n">
        <v>24</v>
      </c>
      <c r="G25" s="19" t="n">
        <v>16</v>
      </c>
      <c r="H25" s="20" t="n">
        <f aca="false">F25+G25</f>
        <v>40</v>
      </c>
      <c r="I25" s="19"/>
      <c r="J25" s="19" t="s">
        <v>276</v>
      </c>
      <c r="K25" s="19" t="s">
        <v>167</v>
      </c>
      <c r="L25" s="19" t="s">
        <v>189</v>
      </c>
      <c r="M25" s="19" t="s">
        <v>277</v>
      </c>
    </row>
    <row r="26" customFormat="false" ht="69.75" hidden="false" customHeight="true" outlineLevel="0" collapsed="false">
      <c r="A26" s="22" t="s">
        <v>278</v>
      </c>
      <c r="B26" s="23" t="s">
        <v>127</v>
      </c>
      <c r="C26" s="24" t="s">
        <v>279</v>
      </c>
      <c r="D26" s="23" t="s">
        <v>280</v>
      </c>
      <c r="E26" s="25" t="s">
        <v>165</v>
      </c>
      <c r="F26" s="23" t="n">
        <v>12</v>
      </c>
      <c r="G26" s="23" t="n">
        <v>22</v>
      </c>
      <c r="H26" s="24" t="n">
        <f aca="false">F26+G26</f>
        <v>34</v>
      </c>
      <c r="I26" s="23"/>
      <c r="J26" s="23" t="s">
        <v>281</v>
      </c>
      <c r="K26" s="23" t="s">
        <v>167</v>
      </c>
      <c r="L26" s="23" t="s">
        <v>195</v>
      </c>
      <c r="M26" s="23" t="s">
        <v>282</v>
      </c>
    </row>
    <row r="27" customFormat="false" ht="69.75" hidden="false" customHeight="true" outlineLevel="0" collapsed="false">
      <c r="A27" s="18" t="s">
        <v>283</v>
      </c>
      <c r="B27" s="19" t="s">
        <v>127</v>
      </c>
      <c r="C27" s="20" t="s">
        <v>284</v>
      </c>
      <c r="D27" s="19" t="s">
        <v>285</v>
      </c>
      <c r="E27" s="21" t="s">
        <v>165</v>
      </c>
      <c r="F27" s="19" t="n">
        <v>28</v>
      </c>
      <c r="G27" s="19" t="n">
        <v>24</v>
      </c>
      <c r="H27" s="20" t="n">
        <f aca="false">F27+G27</f>
        <v>52</v>
      </c>
      <c r="I27" s="19" t="s">
        <v>278</v>
      </c>
      <c r="J27" s="19" t="s">
        <v>286</v>
      </c>
      <c r="K27" s="19" t="s">
        <v>167</v>
      </c>
      <c r="L27" s="19" t="s">
        <v>189</v>
      </c>
      <c r="M27" s="19" t="s">
        <v>287</v>
      </c>
    </row>
    <row r="28" customFormat="false" ht="69.75" hidden="false" customHeight="true" outlineLevel="0" collapsed="false">
      <c r="A28" s="22" t="s">
        <v>288</v>
      </c>
      <c r="B28" s="23" t="s">
        <v>127</v>
      </c>
      <c r="C28" s="24" t="s">
        <v>289</v>
      </c>
      <c r="D28" s="23" t="s">
        <v>290</v>
      </c>
      <c r="E28" s="27" t="s">
        <v>242</v>
      </c>
      <c r="F28" s="23" t="n">
        <v>14</v>
      </c>
      <c r="G28" s="23" t="n">
        <v>18</v>
      </c>
      <c r="H28" s="24" t="n">
        <f aca="false">F28+G28</f>
        <v>32</v>
      </c>
      <c r="I28" s="23"/>
      <c r="J28" s="23" t="s">
        <v>291</v>
      </c>
      <c r="K28" s="23" t="s">
        <v>167</v>
      </c>
      <c r="L28" s="23" t="s">
        <v>189</v>
      </c>
      <c r="M28" s="23"/>
    </row>
    <row r="29" customFormat="false" ht="69.75" hidden="false" customHeight="true" outlineLevel="0" collapsed="false">
      <c r="A29" s="18" t="s">
        <v>292</v>
      </c>
      <c r="B29" s="19" t="s">
        <v>127</v>
      </c>
      <c r="C29" s="20" t="s">
        <v>293</v>
      </c>
      <c r="D29" s="19" t="s">
        <v>294</v>
      </c>
      <c r="E29" s="21" t="s">
        <v>165</v>
      </c>
      <c r="F29" s="19" t="n">
        <v>60</v>
      </c>
      <c r="G29" s="19" t="n">
        <v>20</v>
      </c>
      <c r="H29" s="20" t="n">
        <f aca="false">F29+G29</f>
        <v>80</v>
      </c>
      <c r="I29" s="19"/>
      <c r="J29" s="19" t="s">
        <v>295</v>
      </c>
      <c r="K29" s="19" t="s">
        <v>167</v>
      </c>
      <c r="L29" s="19" t="s">
        <v>168</v>
      </c>
      <c r="M29" s="19" t="s">
        <v>296</v>
      </c>
    </row>
    <row r="30" customFormat="false" ht="69.75" hidden="false" customHeight="true" outlineLevel="0" collapsed="false">
      <c r="A30" s="22" t="s">
        <v>297</v>
      </c>
      <c r="B30" s="23" t="s">
        <v>127</v>
      </c>
      <c r="C30" s="24" t="s">
        <v>298</v>
      </c>
      <c r="D30" s="23" t="s">
        <v>299</v>
      </c>
      <c r="E30" s="25" t="s">
        <v>165</v>
      </c>
      <c r="F30" s="23" t="n">
        <v>40</v>
      </c>
      <c r="G30" s="23" t="n">
        <v>40</v>
      </c>
      <c r="H30" s="24" t="n">
        <f aca="false">F30+G30</f>
        <v>80</v>
      </c>
      <c r="I30" s="23" t="s">
        <v>292</v>
      </c>
      <c r="J30" s="23" t="s">
        <v>300</v>
      </c>
      <c r="K30" s="23" t="s">
        <v>167</v>
      </c>
      <c r="L30" s="23" t="s">
        <v>189</v>
      </c>
      <c r="M30" s="23"/>
    </row>
    <row r="31" customFormat="false" ht="69.75" hidden="false" customHeight="true" outlineLevel="0" collapsed="false">
      <c r="A31" s="18" t="s">
        <v>301</v>
      </c>
      <c r="B31" s="19" t="s">
        <v>133</v>
      </c>
      <c r="C31" s="20" t="s">
        <v>302</v>
      </c>
      <c r="D31" s="19" t="s">
        <v>303</v>
      </c>
      <c r="E31" s="21" t="s">
        <v>165</v>
      </c>
      <c r="F31" s="19" t="n">
        <v>16</v>
      </c>
      <c r="G31" s="19" t="n">
        <v>60</v>
      </c>
      <c r="H31" s="20" t="n">
        <f aca="false">F31+G31</f>
        <v>76</v>
      </c>
      <c r="I31" s="19"/>
      <c r="J31" s="19" t="s">
        <v>304</v>
      </c>
      <c r="K31" s="19" t="s">
        <v>167</v>
      </c>
      <c r="L31" s="19" t="s">
        <v>195</v>
      </c>
      <c r="M31" s="19" t="s">
        <v>305</v>
      </c>
    </row>
    <row r="32" customFormat="false" ht="69.75" hidden="false" customHeight="true" outlineLevel="0" collapsed="false">
      <c r="A32" s="22" t="s">
        <v>306</v>
      </c>
      <c r="B32" s="23" t="s">
        <v>133</v>
      </c>
      <c r="C32" s="24" t="s">
        <v>307</v>
      </c>
      <c r="D32" s="23" t="s">
        <v>308</v>
      </c>
      <c r="E32" s="27" t="s">
        <v>242</v>
      </c>
      <c r="F32" s="23" t="n">
        <v>8</v>
      </c>
      <c r="G32" s="23" t="n">
        <v>24</v>
      </c>
      <c r="H32" s="24" t="n">
        <f aca="false">F32+G32</f>
        <v>32</v>
      </c>
      <c r="I32" s="23"/>
      <c r="J32" s="23" t="s">
        <v>309</v>
      </c>
      <c r="K32" s="23" t="s">
        <v>167</v>
      </c>
      <c r="L32" s="23" t="s">
        <v>195</v>
      </c>
      <c r="M32" s="23" t="s">
        <v>310</v>
      </c>
    </row>
    <row r="33" customFormat="false" ht="69.75" hidden="false" customHeight="true" outlineLevel="0" collapsed="false">
      <c r="A33" s="18" t="s">
        <v>311</v>
      </c>
      <c r="B33" s="19" t="s">
        <v>133</v>
      </c>
      <c r="C33" s="20" t="s">
        <v>312</v>
      </c>
      <c r="D33" s="19" t="s">
        <v>313</v>
      </c>
      <c r="E33" s="26" t="s">
        <v>242</v>
      </c>
      <c r="F33" s="19" t="n">
        <v>18</v>
      </c>
      <c r="G33" s="19" t="n">
        <v>32</v>
      </c>
      <c r="H33" s="20" t="n">
        <f aca="false">F33+G33</f>
        <v>50</v>
      </c>
      <c r="I33" s="19" t="s">
        <v>306</v>
      </c>
      <c r="J33" s="19" t="s">
        <v>314</v>
      </c>
      <c r="K33" s="19" t="s">
        <v>167</v>
      </c>
      <c r="L33" s="19" t="s">
        <v>195</v>
      </c>
      <c r="M33" s="19" t="s">
        <v>315</v>
      </c>
    </row>
    <row r="34" customFormat="false" ht="69.75" hidden="false" customHeight="true" outlineLevel="0" collapsed="false">
      <c r="A34" s="22" t="s">
        <v>316</v>
      </c>
      <c r="B34" s="23" t="s">
        <v>133</v>
      </c>
      <c r="C34" s="24" t="s">
        <v>317</v>
      </c>
      <c r="D34" s="23" t="s">
        <v>318</v>
      </c>
      <c r="E34" s="25" t="s">
        <v>165</v>
      </c>
      <c r="F34" s="23" t="n">
        <v>80</v>
      </c>
      <c r="G34" s="23" t="n">
        <v>30</v>
      </c>
      <c r="H34" s="24" t="n">
        <f aca="false">F34+G34</f>
        <v>110</v>
      </c>
      <c r="I34" s="23"/>
      <c r="J34" s="23" t="s">
        <v>319</v>
      </c>
      <c r="K34" s="23" t="s">
        <v>167</v>
      </c>
      <c r="L34" s="23" t="s">
        <v>189</v>
      </c>
      <c r="M34" s="23" t="s">
        <v>320</v>
      </c>
    </row>
    <row r="35" customFormat="false" ht="69.75" hidden="false" customHeight="true" outlineLevel="0" collapsed="false">
      <c r="A35" s="18" t="s">
        <v>321</v>
      </c>
      <c r="B35" s="19" t="s">
        <v>133</v>
      </c>
      <c r="C35" s="20" t="s">
        <v>322</v>
      </c>
      <c r="D35" s="19" t="s">
        <v>323</v>
      </c>
      <c r="E35" s="21" t="s">
        <v>165</v>
      </c>
      <c r="F35" s="19" t="n">
        <v>36</v>
      </c>
      <c r="G35" s="19" t="n">
        <v>40</v>
      </c>
      <c r="H35" s="20" t="n">
        <f aca="false">F35+G35</f>
        <v>76</v>
      </c>
      <c r="I35" s="19" t="s">
        <v>316</v>
      </c>
      <c r="J35" s="19" t="s">
        <v>324</v>
      </c>
      <c r="K35" s="19" t="s">
        <v>167</v>
      </c>
      <c r="L35" s="19" t="s">
        <v>189</v>
      </c>
      <c r="M35" s="19" t="s">
        <v>325</v>
      </c>
    </row>
    <row r="36" customFormat="false" ht="69.75" hidden="false" customHeight="true" outlineLevel="0" collapsed="false">
      <c r="A36" s="22" t="s">
        <v>326</v>
      </c>
      <c r="B36" s="23" t="s">
        <v>133</v>
      </c>
      <c r="C36" s="24" t="s">
        <v>327</v>
      </c>
      <c r="D36" s="23" t="s">
        <v>328</v>
      </c>
      <c r="E36" s="27" t="s">
        <v>242</v>
      </c>
      <c r="F36" s="23" t="n">
        <v>18</v>
      </c>
      <c r="G36" s="23" t="n">
        <v>24</v>
      </c>
      <c r="H36" s="24" t="n">
        <f aca="false">F36+G36</f>
        <v>42</v>
      </c>
      <c r="I36" s="23" t="s">
        <v>329</v>
      </c>
      <c r="J36" s="23" t="s">
        <v>330</v>
      </c>
      <c r="K36" s="23" t="s">
        <v>167</v>
      </c>
      <c r="L36" s="23" t="s">
        <v>195</v>
      </c>
      <c r="M36" s="23" t="s">
        <v>331</v>
      </c>
    </row>
    <row r="37" customFormat="false" ht="69.75" hidden="false" customHeight="true" outlineLevel="0" collapsed="false">
      <c r="A37" s="18" t="s">
        <v>332</v>
      </c>
      <c r="B37" s="19" t="s">
        <v>133</v>
      </c>
      <c r="C37" s="20" t="s">
        <v>333</v>
      </c>
      <c r="D37" s="19" t="s">
        <v>334</v>
      </c>
      <c r="E37" s="26" t="s">
        <v>242</v>
      </c>
      <c r="F37" s="19" t="n">
        <v>40</v>
      </c>
      <c r="G37" s="19" t="n">
        <v>0</v>
      </c>
      <c r="H37" s="20" t="n">
        <f aca="false">F37+G37</f>
        <v>40</v>
      </c>
      <c r="I37" s="19"/>
      <c r="J37" s="19" t="s">
        <v>335</v>
      </c>
      <c r="K37" s="19" t="s">
        <v>167</v>
      </c>
      <c r="L37" s="19" t="s">
        <v>168</v>
      </c>
      <c r="M37" s="19" t="s">
        <v>336</v>
      </c>
    </row>
    <row r="38" customFormat="false" ht="69.75" hidden="false" customHeight="true" outlineLevel="0" collapsed="false">
      <c r="A38" s="22" t="s">
        <v>337</v>
      </c>
      <c r="B38" s="23" t="s">
        <v>133</v>
      </c>
      <c r="C38" s="24" t="s">
        <v>338</v>
      </c>
      <c r="D38" s="23" t="s">
        <v>339</v>
      </c>
      <c r="E38" s="25" t="s">
        <v>165</v>
      </c>
      <c r="F38" s="23" t="n">
        <v>60</v>
      </c>
      <c r="G38" s="23" t="n">
        <v>30</v>
      </c>
      <c r="H38" s="24" t="n">
        <f aca="false">F38+G38</f>
        <v>90</v>
      </c>
      <c r="I38" s="23"/>
      <c r="J38" s="23" t="s">
        <v>340</v>
      </c>
      <c r="K38" s="23" t="s">
        <v>167</v>
      </c>
      <c r="L38" s="23" t="s">
        <v>189</v>
      </c>
      <c r="M38" s="23" t="s">
        <v>341</v>
      </c>
    </row>
    <row r="39" customFormat="false" ht="69.75" hidden="false" customHeight="true" outlineLevel="0" collapsed="false">
      <c r="A39" s="18" t="s">
        <v>342</v>
      </c>
      <c r="B39" s="19" t="s">
        <v>139</v>
      </c>
      <c r="C39" s="20" t="s">
        <v>343</v>
      </c>
      <c r="D39" s="19" t="s">
        <v>344</v>
      </c>
      <c r="E39" s="21" t="s">
        <v>165</v>
      </c>
      <c r="F39" s="19" t="n">
        <v>28</v>
      </c>
      <c r="G39" s="19" t="n">
        <v>80</v>
      </c>
      <c r="H39" s="20" t="n">
        <f aca="false">F39+G39</f>
        <v>108</v>
      </c>
      <c r="I39" s="19"/>
      <c r="J39" s="19" t="s">
        <v>345</v>
      </c>
      <c r="K39" s="19" t="s">
        <v>167</v>
      </c>
      <c r="L39" s="19" t="s">
        <v>189</v>
      </c>
      <c r="M39" s="19" t="s">
        <v>346</v>
      </c>
    </row>
    <row r="40" customFormat="false" ht="69.75" hidden="false" customHeight="true" outlineLevel="0" collapsed="false">
      <c r="A40" s="22" t="s">
        <v>347</v>
      </c>
      <c r="B40" s="23" t="s">
        <v>139</v>
      </c>
      <c r="C40" s="24" t="s">
        <v>348</v>
      </c>
      <c r="D40" s="23" t="s">
        <v>349</v>
      </c>
      <c r="E40" s="25" t="s">
        <v>165</v>
      </c>
      <c r="F40" s="23" t="n">
        <v>36</v>
      </c>
      <c r="G40" s="23" t="n">
        <v>50</v>
      </c>
      <c r="H40" s="24" t="n">
        <f aca="false">F40+G40</f>
        <v>86</v>
      </c>
      <c r="I40" s="23" t="s">
        <v>342</v>
      </c>
      <c r="J40" s="23" t="s">
        <v>350</v>
      </c>
      <c r="K40" s="23" t="s">
        <v>167</v>
      </c>
      <c r="L40" s="23" t="s">
        <v>189</v>
      </c>
      <c r="M40" s="23" t="s">
        <v>351</v>
      </c>
    </row>
    <row r="41" customFormat="false" ht="69.75" hidden="false" customHeight="true" outlineLevel="0" collapsed="false">
      <c r="A41" s="18" t="s">
        <v>352</v>
      </c>
      <c r="B41" s="19" t="s">
        <v>139</v>
      </c>
      <c r="C41" s="20" t="s">
        <v>353</v>
      </c>
      <c r="D41" s="19" t="s">
        <v>354</v>
      </c>
      <c r="E41" s="21" t="s">
        <v>165</v>
      </c>
      <c r="F41" s="19" t="n">
        <v>24</v>
      </c>
      <c r="G41" s="19" t="n">
        <v>40</v>
      </c>
      <c r="H41" s="20" t="n">
        <f aca="false">F41+G41</f>
        <v>64</v>
      </c>
      <c r="I41" s="19" t="s">
        <v>347</v>
      </c>
      <c r="J41" s="19" t="s">
        <v>355</v>
      </c>
      <c r="K41" s="19" t="s">
        <v>167</v>
      </c>
      <c r="L41" s="19" t="s">
        <v>195</v>
      </c>
      <c r="M41" s="19" t="s">
        <v>356</v>
      </c>
    </row>
    <row r="42" customFormat="false" ht="69.75" hidden="false" customHeight="true" outlineLevel="0" collapsed="false">
      <c r="A42" s="22" t="s">
        <v>357</v>
      </c>
      <c r="B42" s="23" t="s">
        <v>139</v>
      </c>
      <c r="C42" s="24" t="s">
        <v>358</v>
      </c>
      <c r="D42" s="23" t="s">
        <v>359</v>
      </c>
      <c r="E42" s="25" t="s">
        <v>165</v>
      </c>
      <c r="F42" s="23" t="n">
        <v>0</v>
      </c>
      <c r="G42" s="23" t="n">
        <v>80</v>
      </c>
      <c r="H42" s="24" t="n">
        <f aca="false">F42+G42</f>
        <v>80</v>
      </c>
      <c r="I42" s="23"/>
      <c r="J42" s="23" t="s">
        <v>360</v>
      </c>
      <c r="K42" s="23" t="s">
        <v>167</v>
      </c>
      <c r="L42" s="23" t="s">
        <v>195</v>
      </c>
      <c r="M42" s="23" t="s">
        <v>361</v>
      </c>
    </row>
    <row r="43" customFormat="false" ht="69.75" hidden="false" customHeight="true" outlineLevel="0" collapsed="false">
      <c r="A43" s="18" t="s">
        <v>362</v>
      </c>
      <c r="B43" s="19" t="s">
        <v>139</v>
      </c>
      <c r="C43" s="20" t="s">
        <v>363</v>
      </c>
      <c r="D43" s="19" t="s">
        <v>364</v>
      </c>
      <c r="E43" s="21" t="s">
        <v>165</v>
      </c>
      <c r="F43" s="19" t="n">
        <v>60</v>
      </c>
      <c r="G43" s="19" t="n">
        <v>30</v>
      </c>
      <c r="H43" s="20" t="n">
        <f aca="false">F43+G43</f>
        <v>90</v>
      </c>
      <c r="I43" s="19" t="s">
        <v>357</v>
      </c>
      <c r="J43" s="19" t="s">
        <v>365</v>
      </c>
      <c r="K43" s="19" t="s">
        <v>167</v>
      </c>
      <c r="L43" s="19" t="s">
        <v>189</v>
      </c>
      <c r="M43" s="19"/>
    </row>
    <row r="44" customFormat="false" ht="69.75" hidden="false" customHeight="true" outlineLevel="0" collapsed="false">
      <c r="A44" s="22" t="s">
        <v>366</v>
      </c>
      <c r="B44" s="23" t="s">
        <v>139</v>
      </c>
      <c r="C44" s="24" t="s">
        <v>367</v>
      </c>
      <c r="D44" s="23" t="s">
        <v>368</v>
      </c>
      <c r="E44" s="25" t="s">
        <v>165</v>
      </c>
      <c r="F44" s="23" t="n">
        <v>60</v>
      </c>
      <c r="G44" s="23" t="n">
        <v>40</v>
      </c>
      <c r="H44" s="24" t="n">
        <f aca="false">F44+G44</f>
        <v>100</v>
      </c>
      <c r="I44" s="23" t="s">
        <v>316</v>
      </c>
      <c r="J44" s="23" t="s">
        <v>369</v>
      </c>
      <c r="K44" s="23" t="s">
        <v>167</v>
      </c>
      <c r="L44" s="23" t="s">
        <v>189</v>
      </c>
      <c r="M44" s="23" t="s">
        <v>370</v>
      </c>
    </row>
    <row r="45" customFormat="false" ht="69.75" hidden="false" customHeight="true" outlineLevel="0" collapsed="false">
      <c r="A45" s="18" t="s">
        <v>371</v>
      </c>
      <c r="B45" s="19" t="s">
        <v>139</v>
      </c>
      <c r="C45" s="20" t="s">
        <v>372</v>
      </c>
      <c r="D45" s="19" t="s">
        <v>373</v>
      </c>
      <c r="E45" s="21" t="s">
        <v>165</v>
      </c>
      <c r="F45" s="19" t="n">
        <v>40</v>
      </c>
      <c r="G45" s="19" t="n">
        <v>16</v>
      </c>
      <c r="H45" s="20" t="n">
        <f aca="false">F45+G45</f>
        <v>56</v>
      </c>
      <c r="I45" s="19" t="s">
        <v>342</v>
      </c>
      <c r="J45" s="19" t="s">
        <v>374</v>
      </c>
      <c r="K45" s="19" t="s">
        <v>167</v>
      </c>
      <c r="L45" s="19" t="s">
        <v>168</v>
      </c>
      <c r="M45" s="19"/>
    </row>
    <row r="46" customFormat="false" ht="69.75" hidden="false" customHeight="true" outlineLevel="0" collapsed="false">
      <c r="A46" s="22" t="s">
        <v>375</v>
      </c>
      <c r="B46" s="23" t="s">
        <v>139</v>
      </c>
      <c r="C46" s="24" t="s">
        <v>376</v>
      </c>
      <c r="D46" s="23" t="s">
        <v>377</v>
      </c>
      <c r="E46" s="25" t="s">
        <v>165</v>
      </c>
      <c r="F46" s="23" t="n">
        <v>16</v>
      </c>
      <c r="G46" s="23" t="n">
        <v>24</v>
      </c>
      <c r="H46" s="24" t="n">
        <f aca="false">F46+G46</f>
        <v>40</v>
      </c>
      <c r="I46" s="23" t="s">
        <v>371</v>
      </c>
      <c r="J46" s="23" t="s">
        <v>378</v>
      </c>
      <c r="K46" s="23" t="s">
        <v>167</v>
      </c>
      <c r="L46" s="23" t="s">
        <v>189</v>
      </c>
      <c r="M46" s="23"/>
    </row>
    <row r="47" customFormat="false" ht="69.75" hidden="false" customHeight="true" outlineLevel="0" collapsed="false">
      <c r="A47" s="18" t="s">
        <v>379</v>
      </c>
      <c r="B47" s="19" t="s">
        <v>145</v>
      </c>
      <c r="C47" s="20" t="s">
        <v>380</v>
      </c>
      <c r="D47" s="19" t="s">
        <v>381</v>
      </c>
      <c r="E47" s="21" t="s">
        <v>165</v>
      </c>
      <c r="F47" s="19" t="n">
        <v>50</v>
      </c>
      <c r="G47" s="19" t="n">
        <v>30</v>
      </c>
      <c r="H47" s="20" t="n">
        <f aca="false">F47+G47</f>
        <v>80</v>
      </c>
      <c r="I47" s="19"/>
      <c r="J47" s="19" t="s">
        <v>382</v>
      </c>
      <c r="K47" s="19" t="s">
        <v>167</v>
      </c>
      <c r="L47" s="19" t="s">
        <v>383</v>
      </c>
      <c r="M47" s="19" t="s">
        <v>384</v>
      </c>
    </row>
    <row r="48" customFormat="false" ht="69.75" hidden="false" customHeight="true" outlineLevel="0" collapsed="false">
      <c r="A48" s="22" t="s">
        <v>385</v>
      </c>
      <c r="B48" s="23" t="s">
        <v>145</v>
      </c>
      <c r="C48" s="24" t="s">
        <v>386</v>
      </c>
      <c r="D48" s="23" t="s">
        <v>387</v>
      </c>
      <c r="E48" s="25" t="s">
        <v>165</v>
      </c>
      <c r="F48" s="23" t="n">
        <v>80</v>
      </c>
      <c r="G48" s="23" t="n">
        <v>20</v>
      </c>
      <c r="H48" s="24" t="n">
        <f aca="false">F48+G48</f>
        <v>100</v>
      </c>
      <c r="I48" s="23" t="s">
        <v>379</v>
      </c>
      <c r="J48" s="23" t="s">
        <v>388</v>
      </c>
      <c r="K48" s="23" t="s">
        <v>167</v>
      </c>
      <c r="L48" s="23" t="s">
        <v>189</v>
      </c>
      <c r="M48" s="23"/>
    </row>
    <row r="49" customFormat="false" ht="69.75" hidden="false" customHeight="true" outlineLevel="0" collapsed="false">
      <c r="A49" s="18" t="s">
        <v>389</v>
      </c>
      <c r="B49" s="19" t="s">
        <v>145</v>
      </c>
      <c r="C49" s="20" t="s">
        <v>390</v>
      </c>
      <c r="D49" s="19" t="s">
        <v>391</v>
      </c>
      <c r="E49" s="21" t="s">
        <v>165</v>
      </c>
      <c r="F49" s="19" t="n">
        <v>20</v>
      </c>
      <c r="G49" s="19" t="n">
        <v>100</v>
      </c>
      <c r="H49" s="20" t="n">
        <f aca="false">F49+G49</f>
        <v>120</v>
      </c>
      <c r="I49" s="19" t="s">
        <v>385</v>
      </c>
      <c r="J49" s="19" t="s">
        <v>392</v>
      </c>
      <c r="K49" s="19" t="s">
        <v>167</v>
      </c>
      <c r="L49" s="19" t="s">
        <v>195</v>
      </c>
      <c r="M49" s="19" t="s">
        <v>393</v>
      </c>
    </row>
    <row r="50" customFormat="false" ht="69.75" hidden="false" customHeight="true" outlineLevel="0" collapsed="false">
      <c r="A50" s="22" t="s">
        <v>394</v>
      </c>
      <c r="B50" s="23" t="s">
        <v>145</v>
      </c>
      <c r="C50" s="24" t="s">
        <v>395</v>
      </c>
      <c r="D50" s="23" t="s">
        <v>396</v>
      </c>
      <c r="E50" s="25" t="s">
        <v>165</v>
      </c>
      <c r="F50" s="23" t="n">
        <v>30</v>
      </c>
      <c r="G50" s="23" t="n">
        <v>50</v>
      </c>
      <c r="H50" s="24" t="n">
        <f aca="false">F50+G50</f>
        <v>80</v>
      </c>
      <c r="I50" s="23" t="s">
        <v>389</v>
      </c>
      <c r="J50" s="23" t="s">
        <v>397</v>
      </c>
      <c r="K50" s="23" t="s">
        <v>167</v>
      </c>
      <c r="L50" s="23" t="s">
        <v>398</v>
      </c>
      <c r="M50" s="23" t="s">
        <v>399</v>
      </c>
    </row>
    <row r="51" customFormat="false" ht="69.75" hidden="false" customHeight="true" outlineLevel="0" collapsed="false">
      <c r="A51" s="18" t="s">
        <v>400</v>
      </c>
      <c r="B51" s="19" t="s">
        <v>145</v>
      </c>
      <c r="C51" s="20" t="s">
        <v>401</v>
      </c>
      <c r="D51" s="19" t="s">
        <v>402</v>
      </c>
      <c r="E51" s="21" t="s">
        <v>165</v>
      </c>
      <c r="F51" s="19" t="n">
        <v>80</v>
      </c>
      <c r="G51" s="19" t="n">
        <v>0</v>
      </c>
      <c r="H51" s="20" t="n">
        <f aca="false">F51+G51</f>
        <v>80</v>
      </c>
      <c r="I51" s="19" t="s">
        <v>379</v>
      </c>
      <c r="J51" s="19" t="s">
        <v>403</v>
      </c>
      <c r="K51" s="19" t="s">
        <v>167</v>
      </c>
      <c r="L51" s="19" t="s">
        <v>404</v>
      </c>
      <c r="M51" s="19" t="s">
        <v>405</v>
      </c>
    </row>
    <row r="52" customFormat="false" ht="69.75" hidden="false" customHeight="true" outlineLevel="0" collapsed="false">
      <c r="A52" s="22" t="s">
        <v>406</v>
      </c>
      <c r="B52" s="23" t="s">
        <v>145</v>
      </c>
      <c r="C52" s="24" t="s">
        <v>407</v>
      </c>
      <c r="D52" s="23" t="s">
        <v>408</v>
      </c>
      <c r="E52" s="25" t="s">
        <v>165</v>
      </c>
      <c r="F52" s="23" t="n">
        <v>20</v>
      </c>
      <c r="G52" s="23" t="n">
        <v>0</v>
      </c>
      <c r="H52" s="24" t="n">
        <f aca="false">F52+G52</f>
        <v>20</v>
      </c>
      <c r="I52" s="23"/>
      <c r="J52" s="23" t="s">
        <v>409</v>
      </c>
      <c r="K52" s="23" t="s">
        <v>167</v>
      </c>
      <c r="L52" s="23" t="s">
        <v>404</v>
      </c>
      <c r="M52" s="23" t="s">
        <v>410</v>
      </c>
    </row>
    <row r="54" customFormat="false" ht="15" hidden="false" customHeight="false" outlineLevel="0" collapsed="false">
      <c r="C54" s="28" t="s">
        <v>411</v>
      </c>
      <c r="F54" s="29" t="n">
        <f aca="false">SUM(F5:F52)</f>
        <v>1326</v>
      </c>
      <c r="G54" s="29" t="n">
        <f aca="false">SUM(G5:G52)</f>
        <v>1274</v>
      </c>
      <c r="H54" s="30" t="n">
        <f aca="false">SUM(H5:H52)</f>
        <v>2600</v>
      </c>
    </row>
    <row r="56" customFormat="false" ht="15" hidden="false" customHeight="false" outlineLevel="0" collapsed="false">
      <c r="C56" s="31" t="s">
        <v>412</v>
      </c>
    </row>
    <row r="57" customFormat="false" ht="15" hidden="false" customHeight="false" outlineLevel="0" collapsed="false">
      <c r="C57" s="32" t="s">
        <v>113</v>
      </c>
      <c r="F57" s="33" t="n">
        <f aca="false">SUMIF(B5:B54,"STG-0",F5:F54)</f>
        <v>34</v>
      </c>
      <c r="G57" s="33" t="n">
        <f aca="false">SUMIF(B5:B54,"STG-0",G5:G54)</f>
        <v>0</v>
      </c>
      <c r="H57" s="33" t="n">
        <f aca="false">F57+G57</f>
        <v>34</v>
      </c>
    </row>
    <row r="58" customFormat="false" ht="15" hidden="false" customHeight="false" outlineLevel="0" collapsed="false">
      <c r="C58" s="34" t="s">
        <v>413</v>
      </c>
      <c r="F58" s="33" t="n">
        <f aca="false">SUMIF(B5:B54,"STG-1",F5:F54)</f>
        <v>240</v>
      </c>
      <c r="G58" s="33" t="n">
        <f aca="false">SUMIF(B5:B54,"STG-1",G5:G54)</f>
        <v>288</v>
      </c>
      <c r="H58" s="33" t="n">
        <f aca="false">F58+G58</f>
        <v>528</v>
      </c>
    </row>
    <row r="59" customFormat="false" ht="15" hidden="false" customHeight="false" outlineLevel="0" collapsed="false">
      <c r="C59" s="32" t="s">
        <v>127</v>
      </c>
      <c r="F59" s="33" t="n">
        <f aca="false">SUMIF(B5:B54,"STG-2",F5:F54)</f>
        <v>232</v>
      </c>
      <c r="G59" s="33" t="n">
        <f aca="false">SUMIF(B5:B54,"STG-2",G5:G54)</f>
        <v>186</v>
      </c>
      <c r="H59" s="33" t="n">
        <f aca="false">F59+G59</f>
        <v>418</v>
      </c>
    </row>
    <row r="60" customFormat="false" ht="15" hidden="false" customHeight="false" outlineLevel="0" collapsed="false">
      <c r="C60" s="32" t="s">
        <v>133</v>
      </c>
      <c r="F60" s="33" t="n">
        <f aca="false">SUMIF(B5:B54,"STG-3",F5:F54)</f>
        <v>276</v>
      </c>
      <c r="G60" s="33" t="n">
        <f aca="false">SUMIF(B5:B54,"STG-3",G5:G54)</f>
        <v>240</v>
      </c>
      <c r="H60" s="33" t="n">
        <f aca="false">F60+G60</f>
        <v>516</v>
      </c>
    </row>
    <row r="61" customFormat="false" ht="15" hidden="false" customHeight="false" outlineLevel="0" collapsed="false">
      <c r="C61" s="32" t="s">
        <v>139</v>
      </c>
      <c r="F61" s="33" t="n">
        <f aca="false">SUMIF(B5:B54,"STG-4",F5:F54)</f>
        <v>264</v>
      </c>
      <c r="G61" s="33" t="n">
        <f aca="false">SUMIF(B5:B54,"STG-4",G5:G54)</f>
        <v>360</v>
      </c>
      <c r="H61" s="33" t="n">
        <f aca="false">F61+G61</f>
        <v>624</v>
      </c>
    </row>
    <row r="62" customFormat="false" ht="15" hidden="false" customHeight="false" outlineLevel="0" collapsed="false">
      <c r="C62" s="32" t="s">
        <v>145</v>
      </c>
      <c r="F62" s="33" t="n">
        <f aca="false">SUMIF(B5:B54,"STG-5",F5:F54)</f>
        <v>280</v>
      </c>
      <c r="G62" s="33" t="n">
        <f aca="false">SUMIF(B5:B54,"STG-5",G5:G54)</f>
        <v>200</v>
      </c>
      <c r="H62" s="33" t="n">
        <f aca="false">F62+G62</f>
        <v>480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7" min="7" style="0" width="16"/>
    <col collapsed="false" customWidth="true" hidden="false" outlineLevel="0" max="8" min="8" style="0" width="36"/>
  </cols>
  <sheetData>
    <row r="1" customFormat="false" ht="24" hidden="false" customHeight="true" outlineLevel="0" collapsed="false">
      <c r="A1" s="8" t="s">
        <v>414</v>
      </c>
      <c r="B1" s="8"/>
      <c r="C1" s="8"/>
      <c r="D1" s="8"/>
      <c r="E1" s="8"/>
      <c r="F1" s="8"/>
      <c r="G1" s="8"/>
      <c r="H1" s="8"/>
    </row>
    <row r="2" customFormat="false" ht="30" hidden="false" customHeight="true" outlineLevel="0" collapsed="false">
      <c r="A2" s="9" t="s">
        <v>415</v>
      </c>
      <c r="B2" s="9"/>
      <c r="C2" s="9"/>
      <c r="D2" s="9"/>
      <c r="E2" s="9"/>
      <c r="F2" s="9"/>
      <c r="G2" s="9"/>
      <c r="H2" s="9"/>
    </row>
    <row r="4" customFormat="false" ht="39.75" hidden="false" customHeight="true" outlineLevel="0" collapsed="false">
      <c r="A4" s="10" t="s">
        <v>416</v>
      </c>
      <c r="B4" s="10" t="s">
        <v>102</v>
      </c>
      <c r="C4" s="10" t="s">
        <v>417</v>
      </c>
      <c r="D4" s="10" t="s">
        <v>418</v>
      </c>
      <c r="E4" s="10" t="s">
        <v>419</v>
      </c>
      <c r="F4" s="10" t="s">
        <v>420</v>
      </c>
      <c r="G4" s="10" t="s">
        <v>421</v>
      </c>
      <c r="H4" s="10" t="s">
        <v>112</v>
      </c>
    </row>
    <row r="5" customFormat="false" ht="49.5" hidden="false" customHeight="true" outlineLevel="0" collapsed="false">
      <c r="A5" s="11" t="s">
        <v>422</v>
      </c>
      <c r="B5" s="13" t="s">
        <v>113</v>
      </c>
      <c r="C5" s="12" t="s">
        <v>423</v>
      </c>
      <c r="D5" s="35" t="s">
        <v>424</v>
      </c>
      <c r="E5" s="36" t="s">
        <v>425</v>
      </c>
      <c r="F5" s="13" t="s">
        <v>426</v>
      </c>
      <c r="G5" s="13" t="s">
        <v>427</v>
      </c>
      <c r="H5" s="13" t="s">
        <v>428</v>
      </c>
    </row>
    <row r="6" customFormat="false" ht="49.5" hidden="false" customHeight="true" outlineLevel="0" collapsed="false">
      <c r="A6" s="14" t="s">
        <v>429</v>
      </c>
      <c r="B6" s="16" t="s">
        <v>113</v>
      </c>
      <c r="C6" s="15" t="s">
        <v>430</v>
      </c>
      <c r="D6" s="37" t="s">
        <v>431</v>
      </c>
      <c r="E6" s="38" t="s">
        <v>425</v>
      </c>
      <c r="F6" s="16" t="s">
        <v>432</v>
      </c>
      <c r="G6" s="16" t="s">
        <v>427</v>
      </c>
      <c r="H6" s="16" t="s">
        <v>433</v>
      </c>
    </row>
    <row r="7" customFormat="false" ht="49.5" hidden="false" customHeight="true" outlineLevel="0" collapsed="false">
      <c r="A7" s="11" t="s">
        <v>434</v>
      </c>
      <c r="B7" s="13" t="s">
        <v>113</v>
      </c>
      <c r="C7" s="12" t="s">
        <v>435</v>
      </c>
      <c r="D7" s="35" t="s">
        <v>436</v>
      </c>
      <c r="E7" s="36" t="s">
        <v>425</v>
      </c>
      <c r="F7" s="13" t="s">
        <v>437</v>
      </c>
      <c r="G7" s="13" t="s">
        <v>427</v>
      </c>
      <c r="H7" s="13" t="s">
        <v>438</v>
      </c>
    </row>
    <row r="8" customFormat="false" ht="49.5" hidden="false" customHeight="true" outlineLevel="0" collapsed="false">
      <c r="A8" s="14" t="s">
        <v>439</v>
      </c>
      <c r="B8" s="16" t="s">
        <v>113</v>
      </c>
      <c r="C8" s="15" t="s">
        <v>440</v>
      </c>
      <c r="D8" s="37" t="s">
        <v>441</v>
      </c>
      <c r="E8" s="39" t="s">
        <v>442</v>
      </c>
      <c r="F8" s="16" t="s">
        <v>443</v>
      </c>
      <c r="G8" s="16" t="s">
        <v>427</v>
      </c>
      <c r="H8" s="16" t="s">
        <v>444</v>
      </c>
    </row>
    <row r="9" customFormat="false" ht="49.5" hidden="false" customHeight="true" outlineLevel="0" collapsed="false">
      <c r="A9" s="11" t="s">
        <v>445</v>
      </c>
      <c r="B9" s="13" t="s">
        <v>121</v>
      </c>
      <c r="C9" s="12" t="s">
        <v>446</v>
      </c>
      <c r="D9" s="35" t="s">
        <v>447</v>
      </c>
      <c r="E9" s="36" t="s">
        <v>425</v>
      </c>
      <c r="F9" s="13" t="s">
        <v>448</v>
      </c>
      <c r="G9" s="13" t="s">
        <v>427</v>
      </c>
      <c r="H9" s="13" t="s">
        <v>449</v>
      </c>
    </row>
    <row r="10" customFormat="false" ht="49.5" hidden="false" customHeight="true" outlineLevel="0" collapsed="false">
      <c r="A10" s="14" t="s">
        <v>450</v>
      </c>
      <c r="B10" s="16" t="s">
        <v>121</v>
      </c>
      <c r="C10" s="15" t="s">
        <v>435</v>
      </c>
      <c r="D10" s="37" t="s">
        <v>451</v>
      </c>
      <c r="E10" s="38" t="s">
        <v>425</v>
      </c>
      <c r="F10" s="16" t="s">
        <v>452</v>
      </c>
      <c r="G10" s="16" t="s">
        <v>427</v>
      </c>
      <c r="H10" s="16" t="s">
        <v>453</v>
      </c>
    </row>
    <row r="11" customFormat="false" ht="49.5" hidden="false" customHeight="true" outlineLevel="0" collapsed="false">
      <c r="A11" s="11" t="s">
        <v>454</v>
      </c>
      <c r="B11" s="13" t="s">
        <v>121</v>
      </c>
      <c r="C11" s="12" t="s">
        <v>455</v>
      </c>
      <c r="D11" s="35" t="s">
        <v>456</v>
      </c>
      <c r="E11" s="36" t="s">
        <v>425</v>
      </c>
      <c r="F11" s="13" t="s">
        <v>457</v>
      </c>
      <c r="G11" s="13" t="s">
        <v>427</v>
      </c>
      <c r="H11" s="13" t="s">
        <v>458</v>
      </c>
    </row>
    <row r="12" customFormat="false" ht="49.5" hidden="false" customHeight="true" outlineLevel="0" collapsed="false">
      <c r="A12" s="14" t="s">
        <v>459</v>
      </c>
      <c r="B12" s="16" t="s">
        <v>121</v>
      </c>
      <c r="C12" s="15" t="s">
        <v>460</v>
      </c>
      <c r="D12" s="37" t="s">
        <v>461</v>
      </c>
      <c r="E12" s="38" t="s">
        <v>425</v>
      </c>
      <c r="F12" s="16" t="s">
        <v>462</v>
      </c>
      <c r="G12" s="16" t="s">
        <v>427</v>
      </c>
      <c r="H12" s="16" t="s">
        <v>463</v>
      </c>
    </row>
    <row r="13" customFormat="false" ht="49.5" hidden="false" customHeight="true" outlineLevel="0" collapsed="false">
      <c r="A13" s="11" t="s">
        <v>464</v>
      </c>
      <c r="B13" s="13" t="s">
        <v>121</v>
      </c>
      <c r="C13" s="12" t="s">
        <v>465</v>
      </c>
      <c r="D13" s="35" t="s">
        <v>466</v>
      </c>
      <c r="E13" s="40" t="s">
        <v>442</v>
      </c>
      <c r="F13" s="13" t="s">
        <v>467</v>
      </c>
      <c r="G13" s="13" t="s">
        <v>427</v>
      </c>
      <c r="H13" s="13" t="s">
        <v>468</v>
      </c>
    </row>
    <row r="14" customFormat="false" ht="49.5" hidden="false" customHeight="true" outlineLevel="0" collapsed="false">
      <c r="A14" s="14" t="s">
        <v>469</v>
      </c>
      <c r="B14" s="16" t="s">
        <v>127</v>
      </c>
      <c r="C14" s="15" t="s">
        <v>470</v>
      </c>
      <c r="D14" s="37" t="s">
        <v>471</v>
      </c>
      <c r="E14" s="38" t="s">
        <v>425</v>
      </c>
      <c r="F14" s="16" t="s">
        <v>472</v>
      </c>
      <c r="G14" s="16" t="s">
        <v>427</v>
      </c>
      <c r="H14" s="16" t="s">
        <v>473</v>
      </c>
    </row>
    <row r="15" customFormat="false" ht="49.5" hidden="false" customHeight="true" outlineLevel="0" collapsed="false">
      <c r="A15" s="11" t="s">
        <v>474</v>
      </c>
      <c r="B15" s="13" t="s">
        <v>127</v>
      </c>
      <c r="C15" s="12" t="s">
        <v>65</v>
      </c>
      <c r="D15" s="35" t="s">
        <v>475</v>
      </c>
      <c r="E15" s="36" t="s">
        <v>425</v>
      </c>
      <c r="F15" s="13" t="s">
        <v>476</v>
      </c>
      <c r="G15" s="13" t="s">
        <v>427</v>
      </c>
      <c r="H15" s="13" t="s">
        <v>477</v>
      </c>
    </row>
    <row r="16" customFormat="false" ht="49.5" hidden="false" customHeight="true" outlineLevel="0" collapsed="false">
      <c r="A16" s="14" t="s">
        <v>478</v>
      </c>
      <c r="B16" s="16" t="s">
        <v>127</v>
      </c>
      <c r="C16" s="15" t="s">
        <v>479</v>
      </c>
      <c r="D16" s="37" t="s">
        <v>480</v>
      </c>
      <c r="E16" s="38" t="s">
        <v>425</v>
      </c>
      <c r="F16" s="16" t="s">
        <v>481</v>
      </c>
      <c r="G16" s="16" t="s">
        <v>427</v>
      </c>
      <c r="H16" s="16" t="s">
        <v>482</v>
      </c>
    </row>
    <row r="17" customFormat="false" ht="49.5" hidden="false" customHeight="true" outlineLevel="0" collapsed="false">
      <c r="A17" s="11" t="s">
        <v>483</v>
      </c>
      <c r="B17" s="13" t="s">
        <v>127</v>
      </c>
      <c r="C17" s="12" t="s">
        <v>484</v>
      </c>
      <c r="D17" s="35" t="s">
        <v>485</v>
      </c>
      <c r="E17" s="36" t="s">
        <v>425</v>
      </c>
      <c r="F17" s="13" t="s">
        <v>486</v>
      </c>
      <c r="G17" s="13" t="s">
        <v>427</v>
      </c>
      <c r="H17" s="13" t="s">
        <v>487</v>
      </c>
    </row>
    <row r="18" customFormat="false" ht="49.5" hidden="false" customHeight="true" outlineLevel="0" collapsed="false">
      <c r="A18" s="14" t="s">
        <v>488</v>
      </c>
      <c r="B18" s="16" t="s">
        <v>127</v>
      </c>
      <c r="C18" s="15" t="s">
        <v>489</v>
      </c>
      <c r="D18" s="37" t="s">
        <v>490</v>
      </c>
      <c r="E18" s="41" t="s">
        <v>491</v>
      </c>
      <c r="F18" s="16" t="s">
        <v>492</v>
      </c>
      <c r="G18" s="16" t="s">
        <v>427</v>
      </c>
      <c r="H18" s="16" t="s">
        <v>493</v>
      </c>
    </row>
    <row r="19" customFormat="false" ht="49.5" hidden="false" customHeight="true" outlineLevel="0" collapsed="false">
      <c r="A19" s="11" t="s">
        <v>494</v>
      </c>
      <c r="B19" s="13" t="s">
        <v>133</v>
      </c>
      <c r="C19" s="12" t="s">
        <v>470</v>
      </c>
      <c r="D19" s="35" t="s">
        <v>485</v>
      </c>
      <c r="E19" s="36" t="s">
        <v>425</v>
      </c>
      <c r="F19" s="13" t="s">
        <v>495</v>
      </c>
      <c r="G19" s="13" t="s">
        <v>427</v>
      </c>
      <c r="H19" s="13" t="s">
        <v>496</v>
      </c>
    </row>
    <row r="20" customFormat="false" ht="49.5" hidden="false" customHeight="true" outlineLevel="0" collapsed="false">
      <c r="A20" s="14" t="s">
        <v>497</v>
      </c>
      <c r="B20" s="16" t="s">
        <v>133</v>
      </c>
      <c r="C20" s="15" t="s">
        <v>65</v>
      </c>
      <c r="D20" s="37" t="s">
        <v>498</v>
      </c>
      <c r="E20" s="38" t="s">
        <v>425</v>
      </c>
      <c r="F20" s="16" t="s">
        <v>499</v>
      </c>
      <c r="G20" s="16" t="s">
        <v>427</v>
      </c>
      <c r="H20" s="16" t="s">
        <v>500</v>
      </c>
    </row>
    <row r="21" customFormat="false" ht="49.5" hidden="false" customHeight="true" outlineLevel="0" collapsed="false">
      <c r="A21" s="11" t="s">
        <v>501</v>
      </c>
      <c r="B21" s="13" t="s">
        <v>133</v>
      </c>
      <c r="C21" s="12" t="s">
        <v>502</v>
      </c>
      <c r="D21" s="35" t="s">
        <v>503</v>
      </c>
      <c r="E21" s="36" t="s">
        <v>425</v>
      </c>
      <c r="F21" s="13" t="s">
        <v>504</v>
      </c>
      <c r="G21" s="13" t="s">
        <v>427</v>
      </c>
      <c r="H21" s="13" t="s">
        <v>505</v>
      </c>
    </row>
    <row r="22" customFormat="false" ht="49.5" hidden="false" customHeight="true" outlineLevel="0" collapsed="false">
      <c r="A22" s="14" t="s">
        <v>506</v>
      </c>
      <c r="B22" s="16" t="s">
        <v>133</v>
      </c>
      <c r="C22" s="15" t="s">
        <v>507</v>
      </c>
      <c r="D22" s="37" t="s">
        <v>508</v>
      </c>
      <c r="E22" s="38" t="s">
        <v>425</v>
      </c>
      <c r="F22" s="16" t="s">
        <v>509</v>
      </c>
      <c r="G22" s="16" t="s">
        <v>427</v>
      </c>
      <c r="H22" s="16" t="s">
        <v>510</v>
      </c>
    </row>
    <row r="23" customFormat="false" ht="49.5" hidden="false" customHeight="true" outlineLevel="0" collapsed="false">
      <c r="A23" s="11" t="s">
        <v>511</v>
      </c>
      <c r="B23" s="13" t="s">
        <v>133</v>
      </c>
      <c r="C23" s="12" t="s">
        <v>512</v>
      </c>
      <c r="D23" s="35" t="s">
        <v>513</v>
      </c>
      <c r="E23" s="36" t="s">
        <v>425</v>
      </c>
      <c r="F23" s="13" t="s">
        <v>514</v>
      </c>
      <c r="G23" s="13" t="s">
        <v>427</v>
      </c>
      <c r="H23" s="13" t="s">
        <v>515</v>
      </c>
    </row>
    <row r="24" customFormat="false" ht="49.5" hidden="false" customHeight="true" outlineLevel="0" collapsed="false">
      <c r="A24" s="14" t="s">
        <v>516</v>
      </c>
      <c r="B24" s="16" t="s">
        <v>139</v>
      </c>
      <c r="C24" s="15" t="s">
        <v>470</v>
      </c>
      <c r="D24" s="37" t="s">
        <v>517</v>
      </c>
      <c r="E24" s="38" t="s">
        <v>425</v>
      </c>
      <c r="F24" s="16" t="s">
        <v>495</v>
      </c>
      <c r="G24" s="16" t="s">
        <v>427</v>
      </c>
      <c r="H24" s="16"/>
    </row>
    <row r="25" customFormat="false" ht="49.5" hidden="false" customHeight="true" outlineLevel="0" collapsed="false">
      <c r="A25" s="11" t="s">
        <v>518</v>
      </c>
      <c r="B25" s="13" t="s">
        <v>139</v>
      </c>
      <c r="C25" s="12" t="s">
        <v>65</v>
      </c>
      <c r="D25" s="35" t="s">
        <v>519</v>
      </c>
      <c r="E25" s="36" t="s">
        <v>425</v>
      </c>
      <c r="F25" s="13" t="s">
        <v>499</v>
      </c>
      <c r="G25" s="13" t="s">
        <v>427</v>
      </c>
      <c r="H25" s="13" t="s">
        <v>520</v>
      </c>
    </row>
    <row r="26" customFormat="false" ht="49.5" hidden="false" customHeight="true" outlineLevel="0" collapsed="false">
      <c r="A26" s="14" t="s">
        <v>521</v>
      </c>
      <c r="B26" s="16" t="s">
        <v>139</v>
      </c>
      <c r="C26" s="15" t="s">
        <v>522</v>
      </c>
      <c r="D26" s="37" t="s">
        <v>523</v>
      </c>
      <c r="E26" s="38" t="s">
        <v>425</v>
      </c>
      <c r="F26" s="16" t="s">
        <v>524</v>
      </c>
      <c r="G26" s="16" t="s">
        <v>427</v>
      </c>
      <c r="H26" s="16" t="s">
        <v>525</v>
      </c>
    </row>
    <row r="27" customFormat="false" ht="49.5" hidden="false" customHeight="true" outlineLevel="0" collapsed="false">
      <c r="A27" s="11" t="s">
        <v>526</v>
      </c>
      <c r="B27" s="13" t="s">
        <v>139</v>
      </c>
      <c r="C27" s="12" t="s">
        <v>527</v>
      </c>
      <c r="D27" s="35" t="s">
        <v>441</v>
      </c>
      <c r="E27" s="36" t="s">
        <v>425</v>
      </c>
      <c r="F27" s="13" t="s">
        <v>528</v>
      </c>
      <c r="G27" s="13" t="s">
        <v>427</v>
      </c>
      <c r="H27" s="13" t="s">
        <v>529</v>
      </c>
    </row>
    <row r="28" customFormat="false" ht="49.5" hidden="false" customHeight="true" outlineLevel="0" collapsed="false">
      <c r="A28" s="14" t="s">
        <v>530</v>
      </c>
      <c r="B28" s="16" t="s">
        <v>139</v>
      </c>
      <c r="C28" s="15" t="s">
        <v>531</v>
      </c>
      <c r="D28" s="37" t="s">
        <v>532</v>
      </c>
      <c r="E28" s="39" t="s">
        <v>442</v>
      </c>
      <c r="F28" s="16" t="s">
        <v>533</v>
      </c>
      <c r="G28" s="16" t="s">
        <v>427</v>
      </c>
      <c r="H28" s="16" t="s">
        <v>534</v>
      </c>
    </row>
    <row r="29" customFormat="false" ht="49.5" hidden="false" customHeight="true" outlineLevel="0" collapsed="false">
      <c r="A29" s="11" t="s">
        <v>535</v>
      </c>
      <c r="B29" s="13" t="s">
        <v>145</v>
      </c>
      <c r="C29" s="12" t="s">
        <v>470</v>
      </c>
      <c r="D29" s="35" t="s">
        <v>536</v>
      </c>
      <c r="E29" s="36" t="s">
        <v>425</v>
      </c>
      <c r="F29" s="13" t="s">
        <v>495</v>
      </c>
      <c r="G29" s="13" t="s">
        <v>427</v>
      </c>
      <c r="H29" s="13"/>
    </row>
    <row r="30" customFormat="false" ht="49.5" hidden="false" customHeight="true" outlineLevel="0" collapsed="false">
      <c r="A30" s="14" t="s">
        <v>537</v>
      </c>
      <c r="B30" s="16" t="s">
        <v>145</v>
      </c>
      <c r="C30" s="15" t="s">
        <v>538</v>
      </c>
      <c r="D30" s="37" t="s">
        <v>539</v>
      </c>
      <c r="E30" s="38" t="s">
        <v>425</v>
      </c>
      <c r="F30" s="16" t="s">
        <v>540</v>
      </c>
      <c r="G30" s="16" t="s">
        <v>427</v>
      </c>
      <c r="H30" s="16" t="s">
        <v>541</v>
      </c>
    </row>
    <row r="31" customFormat="false" ht="49.5" hidden="false" customHeight="true" outlineLevel="0" collapsed="false">
      <c r="A31" s="11" t="s">
        <v>542</v>
      </c>
      <c r="B31" s="13" t="s">
        <v>145</v>
      </c>
      <c r="C31" s="12" t="s">
        <v>543</v>
      </c>
      <c r="D31" s="35" t="s">
        <v>544</v>
      </c>
      <c r="E31" s="36" t="s">
        <v>425</v>
      </c>
      <c r="F31" s="13" t="s">
        <v>545</v>
      </c>
      <c r="G31" s="13" t="s">
        <v>427</v>
      </c>
      <c r="H31" s="13" t="s">
        <v>546</v>
      </c>
    </row>
    <row r="32" customFormat="false" ht="49.5" hidden="false" customHeight="true" outlineLevel="0" collapsed="false">
      <c r="A32" s="14" t="s">
        <v>547</v>
      </c>
      <c r="B32" s="16" t="s">
        <v>145</v>
      </c>
      <c r="C32" s="15" t="s">
        <v>548</v>
      </c>
      <c r="D32" s="37" t="s">
        <v>549</v>
      </c>
      <c r="E32" s="38" t="s">
        <v>425</v>
      </c>
      <c r="F32" s="16" t="s">
        <v>550</v>
      </c>
      <c r="G32" s="16" t="s">
        <v>427</v>
      </c>
      <c r="H32" s="16" t="s">
        <v>551</v>
      </c>
    </row>
    <row r="33" customFormat="false" ht="49.5" hidden="false" customHeight="true" outlineLevel="0" collapsed="false">
      <c r="A33" s="11" t="s">
        <v>552</v>
      </c>
      <c r="B33" s="13" t="s">
        <v>145</v>
      </c>
      <c r="C33" s="12" t="s">
        <v>553</v>
      </c>
      <c r="D33" s="35" t="s">
        <v>554</v>
      </c>
      <c r="E33" s="40" t="s">
        <v>442</v>
      </c>
      <c r="F33" s="13" t="s">
        <v>555</v>
      </c>
      <c r="G33" s="13" t="s">
        <v>427</v>
      </c>
      <c r="H33" s="13" t="s">
        <v>556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60"/>
    <col collapsed="false" customWidth="true" hidden="false" outlineLevel="0" max="9" min="9" style="0" width="14"/>
  </cols>
  <sheetData>
    <row r="1" customFormat="false" ht="24" hidden="false" customHeight="true" outlineLevel="0" collapsed="false">
      <c r="A1" s="8" t="s">
        <v>557</v>
      </c>
      <c r="B1" s="8"/>
      <c r="C1" s="8"/>
      <c r="D1" s="8"/>
      <c r="E1" s="8"/>
      <c r="F1" s="8"/>
      <c r="G1" s="8"/>
      <c r="H1" s="8"/>
      <c r="I1" s="8"/>
    </row>
    <row r="2" customFormat="false" ht="30" hidden="false" customHeight="true" outlineLevel="0" collapsed="false">
      <c r="A2" s="9" t="s">
        <v>558</v>
      </c>
      <c r="B2" s="9"/>
      <c r="C2" s="9"/>
      <c r="D2" s="9"/>
      <c r="E2" s="9"/>
      <c r="F2" s="9"/>
      <c r="G2" s="9"/>
      <c r="H2" s="9"/>
      <c r="I2" s="9"/>
    </row>
    <row r="4" customFormat="false" ht="39.75" hidden="false" customHeight="true" outlineLevel="0" collapsed="false">
      <c r="A4" s="10" t="s">
        <v>559</v>
      </c>
      <c r="B4" s="10" t="s">
        <v>560</v>
      </c>
      <c r="C4" s="10" t="s">
        <v>561</v>
      </c>
      <c r="D4" s="10" t="s">
        <v>562</v>
      </c>
      <c r="E4" s="10" t="s">
        <v>563</v>
      </c>
      <c r="F4" s="10" t="s">
        <v>564</v>
      </c>
      <c r="G4" s="10" t="s">
        <v>565</v>
      </c>
      <c r="H4" s="10" t="s">
        <v>566</v>
      </c>
      <c r="I4" s="10" t="s">
        <v>109</v>
      </c>
    </row>
    <row r="5" customFormat="false" ht="60" hidden="false" customHeight="true" outlineLevel="0" collapsed="false">
      <c r="A5" s="11" t="s">
        <v>567</v>
      </c>
      <c r="B5" s="13" t="s">
        <v>113</v>
      </c>
      <c r="C5" s="12" t="s">
        <v>568</v>
      </c>
      <c r="D5" s="13" t="s">
        <v>569</v>
      </c>
      <c r="E5" s="42" t="s">
        <v>570</v>
      </c>
      <c r="F5" s="43" t="s">
        <v>571</v>
      </c>
      <c r="G5" s="12" t="n">
        <f aca="false">IF(E5="HIGH",3,IF(E5="MEDIUM",2,1))*IF(F5="HIGH",3,IF(F5="MEDIUM",2,1))</f>
        <v>6</v>
      </c>
      <c r="H5" s="13" t="s">
        <v>572</v>
      </c>
      <c r="I5" s="13" t="s">
        <v>573</v>
      </c>
    </row>
    <row r="6" customFormat="false" ht="60" hidden="false" customHeight="true" outlineLevel="0" collapsed="false">
      <c r="A6" s="14" t="s">
        <v>574</v>
      </c>
      <c r="B6" s="16" t="s">
        <v>575</v>
      </c>
      <c r="C6" s="15" t="s">
        <v>576</v>
      </c>
      <c r="D6" s="16" t="s">
        <v>577</v>
      </c>
      <c r="E6" s="41" t="s">
        <v>570</v>
      </c>
      <c r="F6" s="41" t="s">
        <v>570</v>
      </c>
      <c r="G6" s="15" t="n">
        <f aca="false">IF(E6="HIGH",3,IF(E6="MEDIUM",2,1))*IF(F6="HIGH",3,IF(F6="MEDIUM",2,1))</f>
        <v>9</v>
      </c>
      <c r="H6" s="16" t="s">
        <v>578</v>
      </c>
      <c r="I6" s="16" t="s">
        <v>573</v>
      </c>
    </row>
    <row r="7" customFormat="false" ht="60" hidden="false" customHeight="true" outlineLevel="0" collapsed="false">
      <c r="A7" s="11" t="s">
        <v>579</v>
      </c>
      <c r="B7" s="13" t="s">
        <v>121</v>
      </c>
      <c r="C7" s="12" t="s">
        <v>580</v>
      </c>
      <c r="D7" s="13" t="s">
        <v>581</v>
      </c>
      <c r="E7" s="42" t="s">
        <v>570</v>
      </c>
      <c r="F7" s="40" t="s">
        <v>582</v>
      </c>
      <c r="G7" s="12" t="n">
        <f aca="false">IF(E7="HIGH",3,IF(E7="MEDIUM",2,1))*IF(F7="HIGH",3,IF(F7="MEDIUM",2,1))</f>
        <v>3</v>
      </c>
      <c r="H7" s="13" t="s">
        <v>583</v>
      </c>
      <c r="I7" s="13" t="s">
        <v>573</v>
      </c>
    </row>
    <row r="8" customFormat="false" ht="60" hidden="false" customHeight="true" outlineLevel="0" collapsed="false">
      <c r="A8" s="14" t="s">
        <v>584</v>
      </c>
      <c r="B8" s="16" t="s">
        <v>121</v>
      </c>
      <c r="C8" s="15" t="s">
        <v>580</v>
      </c>
      <c r="D8" s="16" t="s">
        <v>585</v>
      </c>
      <c r="E8" s="41" t="s">
        <v>570</v>
      </c>
      <c r="F8" s="41" t="s">
        <v>570</v>
      </c>
      <c r="G8" s="15" t="n">
        <f aca="false">IF(E8="HIGH",3,IF(E8="MEDIUM",2,1))*IF(F8="HIGH",3,IF(F8="MEDIUM",2,1))</f>
        <v>9</v>
      </c>
      <c r="H8" s="16" t="s">
        <v>586</v>
      </c>
      <c r="I8" s="16" t="s">
        <v>573</v>
      </c>
    </row>
    <row r="9" customFormat="false" ht="60" hidden="false" customHeight="true" outlineLevel="0" collapsed="false">
      <c r="A9" s="11" t="s">
        <v>587</v>
      </c>
      <c r="B9" s="13" t="s">
        <v>121</v>
      </c>
      <c r="C9" s="12" t="s">
        <v>588</v>
      </c>
      <c r="D9" s="13" t="s">
        <v>589</v>
      </c>
      <c r="E9" s="42" t="s">
        <v>570</v>
      </c>
      <c r="F9" s="43" t="s">
        <v>571</v>
      </c>
      <c r="G9" s="12" t="n">
        <f aca="false">IF(E9="HIGH",3,IF(E9="MEDIUM",2,1))*IF(F9="HIGH",3,IF(F9="MEDIUM",2,1))</f>
        <v>6</v>
      </c>
      <c r="H9" s="13" t="s">
        <v>590</v>
      </c>
      <c r="I9" s="13" t="s">
        <v>573</v>
      </c>
    </row>
    <row r="10" customFormat="false" ht="60" hidden="false" customHeight="true" outlineLevel="0" collapsed="false">
      <c r="A10" s="14" t="s">
        <v>591</v>
      </c>
      <c r="B10" s="16" t="s">
        <v>592</v>
      </c>
      <c r="C10" s="15" t="s">
        <v>576</v>
      </c>
      <c r="D10" s="16" t="s">
        <v>593</v>
      </c>
      <c r="E10" s="44" t="s">
        <v>571</v>
      </c>
      <c r="F10" s="44" t="s">
        <v>571</v>
      </c>
      <c r="G10" s="15" t="n">
        <f aca="false">IF(E10="HIGH",3,IF(E10="MEDIUM",2,1))*IF(F10="HIGH",3,IF(F10="MEDIUM",2,1))</f>
        <v>4</v>
      </c>
      <c r="H10" s="16" t="s">
        <v>594</v>
      </c>
      <c r="I10" s="16" t="s">
        <v>573</v>
      </c>
    </row>
    <row r="11" customFormat="false" ht="60" hidden="false" customHeight="true" outlineLevel="0" collapsed="false">
      <c r="A11" s="11" t="s">
        <v>595</v>
      </c>
      <c r="B11" s="13" t="s">
        <v>127</v>
      </c>
      <c r="C11" s="12" t="s">
        <v>568</v>
      </c>
      <c r="D11" s="13" t="s">
        <v>596</v>
      </c>
      <c r="E11" s="42" t="s">
        <v>570</v>
      </c>
      <c r="F11" s="43" t="s">
        <v>571</v>
      </c>
      <c r="G11" s="12" t="n">
        <f aca="false">IF(E11="HIGH",3,IF(E11="MEDIUM",2,1))*IF(F11="HIGH",3,IF(F11="MEDIUM",2,1))</f>
        <v>6</v>
      </c>
      <c r="H11" s="13" t="s">
        <v>597</v>
      </c>
      <c r="I11" s="13" t="s">
        <v>573</v>
      </c>
    </row>
    <row r="12" customFormat="false" ht="60" hidden="false" customHeight="true" outlineLevel="0" collapsed="false">
      <c r="A12" s="14" t="s">
        <v>598</v>
      </c>
      <c r="B12" s="16" t="s">
        <v>599</v>
      </c>
      <c r="C12" s="15" t="s">
        <v>576</v>
      </c>
      <c r="D12" s="16" t="s">
        <v>600</v>
      </c>
      <c r="E12" s="44" t="s">
        <v>571</v>
      </c>
      <c r="F12" s="41" t="s">
        <v>570</v>
      </c>
      <c r="G12" s="15" t="n">
        <f aca="false">IF(E12="HIGH",3,IF(E12="MEDIUM",2,1))*IF(F12="HIGH",3,IF(F12="MEDIUM",2,1))</f>
        <v>6</v>
      </c>
      <c r="H12" s="16" t="s">
        <v>601</v>
      </c>
      <c r="I12" s="16" t="s">
        <v>573</v>
      </c>
    </row>
    <row r="13" customFormat="false" ht="60" hidden="false" customHeight="true" outlineLevel="0" collapsed="false">
      <c r="A13" s="11" t="s">
        <v>602</v>
      </c>
      <c r="B13" s="13" t="s">
        <v>603</v>
      </c>
      <c r="C13" s="12" t="s">
        <v>568</v>
      </c>
      <c r="D13" s="13" t="s">
        <v>604</v>
      </c>
      <c r="E13" s="42" t="s">
        <v>570</v>
      </c>
      <c r="F13" s="43" t="s">
        <v>571</v>
      </c>
      <c r="G13" s="12" t="n">
        <f aca="false">IF(E13="HIGH",3,IF(E13="MEDIUM",2,1))*IF(F13="HIGH",3,IF(F13="MEDIUM",2,1))</f>
        <v>6</v>
      </c>
      <c r="H13" s="13" t="s">
        <v>605</v>
      </c>
      <c r="I13" s="13" t="s">
        <v>573</v>
      </c>
    </row>
    <row r="14" customFormat="false" ht="60" hidden="false" customHeight="true" outlineLevel="0" collapsed="false">
      <c r="A14" s="14" t="s">
        <v>606</v>
      </c>
      <c r="B14" s="16" t="s">
        <v>607</v>
      </c>
      <c r="C14" s="15" t="s">
        <v>580</v>
      </c>
      <c r="D14" s="16" t="s">
        <v>608</v>
      </c>
      <c r="E14" s="44" t="s">
        <v>571</v>
      </c>
      <c r="F14" s="41" t="s">
        <v>570</v>
      </c>
      <c r="G14" s="15" t="n">
        <f aca="false">IF(E14="HIGH",3,IF(E14="MEDIUM",2,1))*IF(F14="HIGH",3,IF(F14="MEDIUM",2,1))</f>
        <v>6</v>
      </c>
      <c r="H14" s="16" t="s">
        <v>609</v>
      </c>
      <c r="I14" s="16" t="s">
        <v>573</v>
      </c>
    </row>
    <row r="15" customFormat="false" ht="60" hidden="false" customHeight="true" outlineLevel="0" collapsed="false">
      <c r="A15" s="11" t="s">
        <v>610</v>
      </c>
      <c r="B15" s="13" t="s">
        <v>607</v>
      </c>
      <c r="C15" s="12" t="s">
        <v>580</v>
      </c>
      <c r="D15" s="13" t="s">
        <v>611</v>
      </c>
      <c r="E15" s="43" t="s">
        <v>571</v>
      </c>
      <c r="F15" s="43" t="s">
        <v>571</v>
      </c>
      <c r="G15" s="12" t="n">
        <f aca="false">IF(E15="HIGH",3,IF(E15="MEDIUM",2,1))*IF(F15="HIGH",3,IF(F15="MEDIUM",2,1))</f>
        <v>4</v>
      </c>
      <c r="H15" s="13" t="s">
        <v>612</v>
      </c>
      <c r="I15" s="13" t="s">
        <v>573</v>
      </c>
    </row>
    <row r="16" customFormat="false" ht="60" hidden="false" customHeight="true" outlineLevel="0" collapsed="false">
      <c r="A16" s="14" t="s">
        <v>613</v>
      </c>
      <c r="B16" s="16" t="s">
        <v>614</v>
      </c>
      <c r="C16" s="15" t="s">
        <v>568</v>
      </c>
      <c r="D16" s="16" t="s">
        <v>615</v>
      </c>
      <c r="E16" s="44" t="s">
        <v>571</v>
      </c>
      <c r="F16" s="44" t="s">
        <v>571</v>
      </c>
      <c r="G16" s="15" t="n">
        <f aca="false">IF(E16="HIGH",3,IF(E16="MEDIUM",2,1))*IF(F16="HIGH",3,IF(F16="MEDIUM",2,1))</f>
        <v>4</v>
      </c>
      <c r="H16" s="16" t="s">
        <v>616</v>
      </c>
      <c r="I16" s="16" t="s">
        <v>573</v>
      </c>
    </row>
    <row r="17" customFormat="false" ht="60" hidden="false" customHeight="true" outlineLevel="0" collapsed="false">
      <c r="A17" s="11" t="s">
        <v>617</v>
      </c>
      <c r="B17" s="13" t="s">
        <v>618</v>
      </c>
      <c r="C17" s="12" t="s">
        <v>568</v>
      </c>
      <c r="D17" s="13" t="s">
        <v>619</v>
      </c>
      <c r="E17" s="43" t="s">
        <v>571</v>
      </c>
      <c r="F17" s="43" t="s">
        <v>571</v>
      </c>
      <c r="G17" s="12" t="n">
        <f aca="false">IF(E17="HIGH",3,IF(E17="MEDIUM",2,1))*IF(F17="HIGH",3,IF(F17="MEDIUM",2,1))</f>
        <v>4</v>
      </c>
      <c r="H17" s="13" t="s">
        <v>620</v>
      </c>
      <c r="I17" s="13" t="s">
        <v>573</v>
      </c>
    </row>
    <row r="18" customFormat="false" ht="60" hidden="false" customHeight="true" outlineLevel="0" collapsed="false">
      <c r="A18" s="14" t="s">
        <v>621</v>
      </c>
      <c r="B18" s="16" t="s">
        <v>145</v>
      </c>
      <c r="C18" s="15" t="s">
        <v>622</v>
      </c>
      <c r="D18" s="16" t="s">
        <v>623</v>
      </c>
      <c r="E18" s="41" t="s">
        <v>570</v>
      </c>
      <c r="F18" s="44" t="s">
        <v>571</v>
      </c>
      <c r="G18" s="15" t="n">
        <f aca="false">IF(E18="HIGH",3,IF(E18="MEDIUM",2,1))*IF(F18="HIGH",3,IF(F18="MEDIUM",2,1))</f>
        <v>6</v>
      </c>
      <c r="H18" s="16" t="s">
        <v>624</v>
      </c>
      <c r="I18" s="16" t="s">
        <v>573</v>
      </c>
    </row>
    <row r="19" customFormat="false" ht="60" hidden="false" customHeight="true" outlineLevel="0" collapsed="false">
      <c r="A19" s="11" t="s">
        <v>625</v>
      </c>
      <c r="B19" s="13" t="s">
        <v>145</v>
      </c>
      <c r="C19" s="12" t="s">
        <v>626</v>
      </c>
      <c r="D19" s="13" t="s">
        <v>627</v>
      </c>
      <c r="E19" s="42" t="s">
        <v>570</v>
      </c>
      <c r="F19" s="42" t="s">
        <v>570</v>
      </c>
      <c r="G19" s="12" t="n">
        <f aca="false">IF(E19="HIGH",3,IF(E19="MEDIUM",2,1))*IF(F19="HIGH",3,IF(F19="MEDIUM",2,1))</f>
        <v>9</v>
      </c>
      <c r="H19" s="13" t="s">
        <v>628</v>
      </c>
      <c r="I19" s="13" t="s">
        <v>573</v>
      </c>
    </row>
    <row r="20" customFormat="false" ht="60" hidden="false" customHeight="true" outlineLevel="0" collapsed="false">
      <c r="A20" s="14" t="s">
        <v>629</v>
      </c>
      <c r="B20" s="16" t="s">
        <v>592</v>
      </c>
      <c r="C20" s="15" t="s">
        <v>626</v>
      </c>
      <c r="D20" s="16" t="s">
        <v>630</v>
      </c>
      <c r="E20" s="44" t="s">
        <v>571</v>
      </c>
      <c r="F20" s="44" t="s">
        <v>571</v>
      </c>
      <c r="G20" s="15" t="n">
        <f aca="false">IF(E20="HIGH",3,IF(E20="MEDIUM",2,1))*IF(F20="HIGH",3,IF(F20="MEDIUM",2,1))</f>
        <v>4</v>
      </c>
      <c r="H20" s="16" t="s">
        <v>631</v>
      </c>
      <c r="I20" s="16" t="s">
        <v>573</v>
      </c>
    </row>
    <row r="21" customFormat="false" ht="60" hidden="false" customHeight="true" outlineLevel="0" collapsed="false">
      <c r="A21" s="11" t="s">
        <v>632</v>
      </c>
      <c r="B21" s="13" t="s">
        <v>599</v>
      </c>
      <c r="C21" s="12" t="s">
        <v>568</v>
      </c>
      <c r="D21" s="13" t="s">
        <v>633</v>
      </c>
      <c r="E21" s="43" t="s">
        <v>571</v>
      </c>
      <c r="F21" s="40" t="s">
        <v>582</v>
      </c>
      <c r="G21" s="12" t="n">
        <f aca="false">IF(E21="HIGH",3,IF(E21="MEDIUM",2,1))*IF(F21="HIGH",3,IF(F21="MEDIUM",2,1))</f>
        <v>2</v>
      </c>
      <c r="H21" s="13" t="s">
        <v>634</v>
      </c>
      <c r="I21" s="13" t="s">
        <v>573</v>
      </c>
    </row>
    <row r="22" customFormat="false" ht="60" hidden="false" customHeight="true" outlineLevel="0" collapsed="false">
      <c r="A22" s="14" t="s">
        <v>635</v>
      </c>
      <c r="B22" s="16" t="s">
        <v>133</v>
      </c>
      <c r="C22" s="15" t="s">
        <v>576</v>
      </c>
      <c r="D22" s="16" t="s">
        <v>636</v>
      </c>
      <c r="E22" s="44" t="s">
        <v>571</v>
      </c>
      <c r="F22" s="39" t="s">
        <v>582</v>
      </c>
      <c r="G22" s="15" t="n">
        <f aca="false">IF(E22="HIGH",3,IF(E22="MEDIUM",2,1))*IF(F22="HIGH",3,IF(F22="MEDIUM",2,1))</f>
        <v>2</v>
      </c>
      <c r="H22" s="16" t="s">
        <v>637</v>
      </c>
      <c r="I22" s="16" t="s">
        <v>573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2"/>
    <col collapsed="false" customWidth="true" hidden="false" outlineLevel="0" max="8" min="8" style="0" width="14"/>
  </cols>
  <sheetData>
    <row r="1" customFormat="false" ht="24" hidden="false" customHeight="true" outlineLevel="0" collapsed="false">
      <c r="A1" s="8" t="s">
        <v>638</v>
      </c>
      <c r="B1" s="8"/>
      <c r="C1" s="8"/>
      <c r="D1" s="8"/>
      <c r="E1" s="8"/>
      <c r="F1" s="8"/>
      <c r="G1" s="8"/>
      <c r="H1" s="8"/>
    </row>
    <row r="2" customFormat="false" ht="30" hidden="false" customHeight="true" outlineLevel="0" collapsed="false">
      <c r="A2" s="9" t="s">
        <v>639</v>
      </c>
      <c r="B2" s="9"/>
      <c r="C2" s="9"/>
      <c r="D2" s="9"/>
      <c r="E2" s="9"/>
      <c r="F2" s="9"/>
      <c r="G2" s="9"/>
      <c r="H2" s="9"/>
    </row>
    <row r="4" customFormat="false" ht="31.5" hidden="false" customHeight="true" outlineLevel="0" collapsed="false">
      <c r="A4" s="10" t="s">
        <v>640</v>
      </c>
      <c r="B4" s="10" t="s">
        <v>113</v>
      </c>
      <c r="C4" s="10" t="s">
        <v>121</v>
      </c>
      <c r="D4" s="10" t="s">
        <v>127</v>
      </c>
      <c r="E4" s="10" t="s">
        <v>133</v>
      </c>
      <c r="F4" s="10" t="s">
        <v>139</v>
      </c>
      <c r="G4" s="10" t="s">
        <v>145</v>
      </c>
      <c r="H4" s="10" t="s">
        <v>641</v>
      </c>
    </row>
    <row r="5" customFormat="false" ht="19.5" hidden="false" customHeight="true" outlineLevel="0" collapsed="false">
      <c r="A5" s="45" t="s">
        <v>642</v>
      </c>
      <c r="B5" s="46" t="n">
        <v>0</v>
      </c>
      <c r="C5" s="46" t="n">
        <v>120</v>
      </c>
      <c r="D5" s="46" t="n">
        <v>90</v>
      </c>
      <c r="E5" s="46" t="n">
        <v>200</v>
      </c>
      <c r="F5" s="46" t="n">
        <v>300</v>
      </c>
      <c r="G5" s="46" t="n">
        <v>500</v>
      </c>
      <c r="H5" s="47" t="n">
        <f aca="false">SUM(B5:G5)</f>
        <v>1210</v>
      </c>
    </row>
    <row r="6" customFormat="false" ht="19.5" hidden="false" customHeight="true" outlineLevel="0" collapsed="false">
      <c r="A6" s="45" t="s">
        <v>643</v>
      </c>
      <c r="B6" s="46" t="n">
        <v>0</v>
      </c>
      <c r="C6" s="46" t="n">
        <v>80</v>
      </c>
      <c r="D6" s="46" t="n">
        <v>150</v>
      </c>
      <c r="E6" s="46" t="n">
        <v>400</v>
      </c>
      <c r="F6" s="46" t="n">
        <v>800</v>
      </c>
      <c r="G6" s="46" t="n">
        <v>1500</v>
      </c>
      <c r="H6" s="47" t="n">
        <f aca="false">SUM(B6:G6)</f>
        <v>2930</v>
      </c>
    </row>
    <row r="7" customFormat="false" ht="19.5" hidden="false" customHeight="true" outlineLevel="0" collapsed="false">
      <c r="A7" s="45" t="s">
        <v>644</v>
      </c>
      <c r="B7" s="46" t="n">
        <v>0</v>
      </c>
      <c r="C7" s="46" t="n">
        <v>0</v>
      </c>
      <c r="D7" s="46" t="n">
        <v>0</v>
      </c>
      <c r="E7" s="46" t="n">
        <v>200</v>
      </c>
      <c r="F7" s="46" t="n">
        <v>300</v>
      </c>
      <c r="G7" s="46" t="n">
        <v>400</v>
      </c>
      <c r="H7" s="47" t="n">
        <f aca="false">SUM(B7:G7)</f>
        <v>900</v>
      </c>
    </row>
    <row r="8" customFormat="false" ht="19.5" hidden="false" customHeight="true" outlineLevel="0" collapsed="false">
      <c r="A8" s="45" t="s">
        <v>645</v>
      </c>
      <c r="B8" s="46" t="n">
        <v>0</v>
      </c>
      <c r="C8" s="46" t="n">
        <v>0</v>
      </c>
      <c r="D8" s="46" t="n">
        <v>0</v>
      </c>
      <c r="E8" s="46" t="n">
        <v>0</v>
      </c>
      <c r="F8" s="46" t="n">
        <v>0</v>
      </c>
      <c r="G8" s="46" t="n">
        <v>0</v>
      </c>
      <c r="H8" s="47" t="n">
        <f aca="false">SUM(B8:G8)</f>
        <v>0</v>
      </c>
    </row>
    <row r="9" customFormat="false" ht="19.5" hidden="false" customHeight="true" outlineLevel="0" collapsed="false">
      <c r="A9" s="48" t="s">
        <v>646</v>
      </c>
      <c r="B9" s="46" t="n">
        <v>0</v>
      </c>
      <c r="C9" s="46" t="n">
        <v>2800</v>
      </c>
      <c r="D9" s="46" t="n">
        <v>1800</v>
      </c>
      <c r="E9" s="46" t="n">
        <v>2400</v>
      </c>
      <c r="F9" s="46" t="n">
        <v>3600</v>
      </c>
      <c r="G9" s="46" t="n">
        <v>5000</v>
      </c>
      <c r="H9" s="47" t="n">
        <f aca="false">SUM(B9:G9)</f>
        <v>15600</v>
      </c>
    </row>
    <row r="10" customFormat="false" ht="19.5" hidden="false" customHeight="true" outlineLevel="0" collapsed="false">
      <c r="A10" s="45" t="s">
        <v>647</v>
      </c>
      <c r="B10" s="46" t="n">
        <v>0</v>
      </c>
      <c r="C10" s="46" t="n">
        <v>0</v>
      </c>
      <c r="D10" s="46" t="n">
        <v>0</v>
      </c>
      <c r="E10" s="46" t="n">
        <v>400</v>
      </c>
      <c r="F10" s="46" t="n">
        <v>800</v>
      </c>
      <c r="G10" s="46" t="n">
        <v>1500</v>
      </c>
      <c r="H10" s="47" t="n">
        <f aca="false">SUM(B10:G10)</f>
        <v>2700</v>
      </c>
    </row>
    <row r="11" customFormat="false" ht="19.5" hidden="false" customHeight="true" outlineLevel="0" collapsed="false">
      <c r="A11" s="48" t="s">
        <v>648</v>
      </c>
      <c r="B11" s="46" t="n">
        <v>0</v>
      </c>
      <c r="C11" s="46" t="n">
        <v>0</v>
      </c>
      <c r="D11" s="46" t="n">
        <v>0</v>
      </c>
      <c r="E11" s="46" t="n">
        <v>2400</v>
      </c>
      <c r="F11" s="46" t="n">
        <v>2400</v>
      </c>
      <c r="G11" s="46" t="n">
        <v>3600</v>
      </c>
      <c r="H11" s="47" t="n">
        <f aca="false">SUM(B11:G11)</f>
        <v>8400</v>
      </c>
    </row>
    <row r="12" customFormat="false" ht="19.5" hidden="false" customHeight="true" outlineLevel="0" collapsed="false">
      <c r="A12" s="45" t="s">
        <v>649</v>
      </c>
      <c r="B12" s="46" t="n">
        <v>0</v>
      </c>
      <c r="C12" s="46" t="n">
        <v>0</v>
      </c>
      <c r="D12" s="46" t="n">
        <v>300</v>
      </c>
      <c r="E12" s="46" t="n">
        <v>700</v>
      </c>
      <c r="F12" s="46" t="n">
        <v>1200</v>
      </c>
      <c r="G12" s="46" t="n">
        <v>2000</v>
      </c>
      <c r="H12" s="47" t="n">
        <f aca="false">SUM(B12:G12)</f>
        <v>4200</v>
      </c>
    </row>
    <row r="13" customFormat="false" ht="19.5" hidden="false" customHeight="true" outlineLevel="0" collapsed="false">
      <c r="A13" s="45" t="s">
        <v>650</v>
      </c>
      <c r="B13" s="46" t="n">
        <v>0</v>
      </c>
      <c r="C13" s="46" t="n">
        <v>500</v>
      </c>
      <c r="D13" s="46" t="n">
        <v>100</v>
      </c>
      <c r="E13" s="46" t="n">
        <v>200</v>
      </c>
      <c r="F13" s="46" t="n">
        <v>500</v>
      </c>
      <c r="G13" s="46" t="n">
        <v>1500</v>
      </c>
      <c r="H13" s="47" t="n">
        <f aca="false">SUM(B13:G13)</f>
        <v>2800</v>
      </c>
    </row>
    <row r="14" customFormat="false" ht="19.5" hidden="false" customHeight="true" outlineLevel="0" collapsed="false">
      <c r="A14" s="45" t="s">
        <v>651</v>
      </c>
      <c r="B14" s="46" t="n">
        <v>0</v>
      </c>
      <c r="C14" s="46" t="n">
        <v>1000</v>
      </c>
      <c r="D14" s="46" t="n">
        <v>460</v>
      </c>
      <c r="E14" s="46" t="n">
        <v>600</v>
      </c>
      <c r="F14" s="46" t="n">
        <v>1000</v>
      </c>
      <c r="G14" s="46" t="n">
        <v>3000</v>
      </c>
      <c r="H14" s="47" t="n">
        <f aca="false">SUM(B14:G14)</f>
        <v>6060</v>
      </c>
    </row>
    <row r="16" customFormat="false" ht="24" hidden="false" customHeight="true" outlineLevel="0" collapsed="false">
      <c r="A16" s="49" t="s">
        <v>652</v>
      </c>
      <c r="B16" s="50" t="n">
        <f aca="false">SUM(B5:B14)</f>
        <v>0</v>
      </c>
      <c r="C16" s="50" t="n">
        <f aca="false">SUM(C5:C14)</f>
        <v>4500</v>
      </c>
      <c r="D16" s="50" t="n">
        <f aca="false">SUM(D5:D14)</f>
        <v>2900</v>
      </c>
      <c r="E16" s="50" t="n">
        <f aca="false">SUM(E5:E14)</f>
        <v>7500</v>
      </c>
      <c r="F16" s="50" t="n">
        <f aca="false">SUM(F5:F14)</f>
        <v>10900</v>
      </c>
      <c r="G16" s="50" t="n">
        <f aca="false">SUM(G5:G14)</f>
        <v>19000</v>
      </c>
      <c r="H16" s="50" t="n">
        <f aca="false">SUM(H5:H14)</f>
        <v>44800</v>
      </c>
    </row>
    <row r="17" customFormat="false" ht="15" hidden="false" customHeight="false" outlineLevel="0" collapsed="false">
      <c r="A17" s="51" t="s">
        <v>653</v>
      </c>
      <c r="B17" s="52" t="n">
        <f aca="false">B16</f>
        <v>0</v>
      </c>
      <c r="C17" s="52" t="n">
        <f aca="false">B17+C16</f>
        <v>4500</v>
      </c>
      <c r="D17" s="52" t="n">
        <f aca="false">C17+D16</f>
        <v>7400</v>
      </c>
      <c r="E17" s="52" t="n">
        <f aca="false">D17+E16</f>
        <v>14900</v>
      </c>
      <c r="F17" s="52" t="n">
        <f aca="false">E17+F16</f>
        <v>25800</v>
      </c>
      <c r="G17" s="52" t="n">
        <f aca="false">F17+G16</f>
        <v>44800</v>
      </c>
    </row>
    <row r="19" customFormat="false" ht="15" hidden="false" customHeight="false" outlineLevel="0" collapsed="false">
      <c r="A19" s="53" t="s">
        <v>654</v>
      </c>
      <c r="B19" s="53"/>
      <c r="C19" s="53"/>
      <c r="D19" s="53"/>
      <c r="E19" s="53"/>
      <c r="F19" s="53"/>
      <c r="G19" s="53"/>
      <c r="H19" s="53"/>
    </row>
    <row r="20" customFormat="false" ht="15" hidden="false" customHeight="false" outlineLevel="0" collapsed="false">
      <c r="A20" s="54" t="s">
        <v>655</v>
      </c>
      <c r="B20" s="55" t="s">
        <v>656</v>
      </c>
      <c r="C20" s="55" t="s">
        <v>657</v>
      </c>
      <c r="D20" s="55" t="s">
        <v>658</v>
      </c>
      <c r="E20" s="55" t="s">
        <v>656</v>
      </c>
      <c r="F20" s="55" t="s">
        <v>656</v>
      </c>
      <c r="G20" s="55" t="s">
        <v>656</v>
      </c>
    </row>
    <row r="21" customFormat="false" ht="15" hidden="false" customHeight="false" outlineLevel="0" collapsed="false">
      <c r="A21" s="54" t="s">
        <v>659</v>
      </c>
      <c r="B21" s="55" t="s">
        <v>656</v>
      </c>
      <c r="C21" s="55" t="s">
        <v>656</v>
      </c>
      <c r="D21" s="55" t="s">
        <v>656</v>
      </c>
      <c r="E21" s="55" t="s">
        <v>660</v>
      </c>
      <c r="F21" s="55" t="s">
        <v>661</v>
      </c>
      <c r="G21" s="55" t="s">
        <v>662</v>
      </c>
    </row>
    <row r="22" customFormat="false" ht="15" hidden="false" customHeight="false" outlineLevel="0" collapsed="false">
      <c r="A22" s="56" t="s">
        <v>663</v>
      </c>
      <c r="B22" s="55" t="s">
        <v>427</v>
      </c>
      <c r="C22" s="55" t="s">
        <v>427</v>
      </c>
      <c r="D22" s="55" t="s">
        <v>427</v>
      </c>
      <c r="E22" s="55" t="s">
        <v>427</v>
      </c>
      <c r="F22" s="55" t="s">
        <v>427</v>
      </c>
      <c r="G22" s="57" t="s">
        <v>664</v>
      </c>
    </row>
    <row r="24" customFormat="false" ht="15" hidden="false" customHeight="false" outlineLevel="0" collapsed="false">
      <c r="A24" s="53" t="s">
        <v>665</v>
      </c>
      <c r="B24" s="53"/>
      <c r="C24" s="53"/>
      <c r="D24" s="53"/>
      <c r="E24" s="53"/>
      <c r="F24" s="53"/>
      <c r="G24" s="53"/>
      <c r="H24" s="53"/>
    </row>
    <row r="25" customFormat="false" ht="19.5" hidden="false" customHeight="true" outlineLevel="0" collapsed="false">
      <c r="A25" s="58" t="s">
        <v>666</v>
      </c>
      <c r="B25" s="58"/>
      <c r="C25" s="58"/>
      <c r="D25" s="58"/>
      <c r="E25" s="58"/>
      <c r="F25" s="58"/>
      <c r="G25" s="58"/>
      <c r="H25" s="58"/>
    </row>
    <row r="26" customFormat="false" ht="19.5" hidden="false" customHeight="true" outlineLevel="0" collapsed="false">
      <c r="A26" s="58" t="s">
        <v>667</v>
      </c>
      <c r="B26" s="58"/>
      <c r="C26" s="58"/>
      <c r="D26" s="58"/>
      <c r="E26" s="58"/>
      <c r="F26" s="58"/>
      <c r="G26" s="58"/>
      <c r="H26" s="58"/>
    </row>
    <row r="27" customFormat="false" ht="19.5" hidden="false" customHeight="true" outlineLevel="0" collapsed="false">
      <c r="A27" s="58" t="s">
        <v>668</v>
      </c>
      <c r="B27" s="58"/>
      <c r="C27" s="58"/>
      <c r="D27" s="58"/>
      <c r="E27" s="58"/>
      <c r="F27" s="58"/>
      <c r="G27" s="58"/>
      <c r="H27" s="58"/>
    </row>
    <row r="28" customFormat="false" ht="19.5" hidden="false" customHeight="true" outlineLevel="0" collapsed="false">
      <c r="A28" s="58" t="s">
        <v>669</v>
      </c>
      <c r="B28" s="58"/>
      <c r="C28" s="58"/>
      <c r="D28" s="58"/>
      <c r="E28" s="58"/>
      <c r="F28" s="58"/>
      <c r="G28" s="58"/>
      <c r="H28" s="58"/>
    </row>
    <row r="29" customFormat="false" ht="19.5" hidden="false" customHeight="true" outlineLevel="0" collapsed="false">
      <c r="A29" s="58" t="s">
        <v>670</v>
      </c>
      <c r="B29" s="58"/>
      <c r="C29" s="58"/>
      <c r="D29" s="58"/>
      <c r="E29" s="58"/>
      <c r="F29" s="58"/>
      <c r="G29" s="58"/>
      <c r="H29" s="58"/>
    </row>
  </sheetData>
  <mergeCells count="9">
    <mergeCell ref="A1:H1"/>
    <mergeCell ref="A2:H2"/>
    <mergeCell ref="A19:H19"/>
    <mergeCell ref="A24:H24"/>
    <mergeCell ref="A25:H25"/>
    <mergeCell ref="A26:H26"/>
    <mergeCell ref="A27:H27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2026-05-24T21:07:45Z</dcterms:created>
  <dc:creator>openpyxl</dc:creator>
  <dc:description/>
  <dc:language>en-US</dc:language>
  <cp:lastModifiedBy/>
  <dcterms:modified xsi:type="dcterms:W3CDTF">2026-05-24T21:13:41Z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