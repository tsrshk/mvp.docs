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ges" sheetId="2" state="visible" r:id="rId4"/>
    <sheet name="Epics" sheetId="3" state="visible" r:id="rId5"/>
    <sheet name="Metrics" sheetId="4" state="visible" r:id="rId6"/>
    <sheet name="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<sst xmlns="http://schemas.openxmlformats.org/spreadsheetml/2006/main" count="662" uniqueCount="422">
  <si>
    <t xml:space="preserve">LOCAL OS · Roadmap v0.3</t>
  </si>
  <si>
    <t xml:space="preserve">Final frame: жена first, market second · May 2026</t>
  </si>
  <si>
    <t xml:space="preserve">ГЛАВНЫЙ ПРИНЦИП</t>
  </si>
  <si>
    <t xml:space="preserve">«Сначала помочь жене. Потом — деньги.»</t>
  </si>
  <si>
    <t xml:space="preserve">Если первая часть (Customer Zero = жена пользуется ежедневно) не работает — ко второй (рынок) не переходим. Это защищает от классических стартап-провалов и даёт честный сигнал PMF на самом дешёвом уровне.</t>
  </si>
  <si>
    <t xml:space="preserve">МЕТАДАННЫЕ ДОКУМЕНТА</t>
  </si>
  <si>
    <t xml:space="preserve">Продукт</t>
  </si>
  <si>
    <t xml:space="preserve">Local OS — AI-помощник для владельца малой кофейни / пекарни / бистро</t>
  </si>
  <si>
    <t xml:space="preserve">Версия</t>
  </si>
  <si>
    <t xml:space="preserve">0.3 (финальный фрейм)</t>
  </si>
  <si>
    <t xml:space="preserve">Дата</t>
  </si>
  <si>
    <t xml:space="preserve">Май 2026</t>
  </si>
  <si>
    <t xml:space="preserve">Customer Zero</t>
  </si>
  <si>
    <t xml:space="preserve">Жена (управляет нашей кофейней)</t>
  </si>
  <si>
    <t xml:space="preserve">Целевой рынок (Phase 2)</t>
  </si>
  <si>
    <t xml:space="preserve">СНГ HoReCa, начиная с Беларуси, расширение на РФ + EE</t>
  </si>
  <si>
    <t xml:space="preserve">POS интеграция</t>
  </si>
  <si>
    <t xml:space="preserve">Esupl (используется в нашей кофейне), iiko/Poster — на Phase 2+</t>
  </si>
  <si>
    <t xml:space="preserve">Команда (фаза 1)</t>
  </si>
  <si>
    <t xml:space="preserve">Founder (FE + продукт), жена (Customer Zero + requirements)</t>
  </si>
  <si>
    <t xml:space="preserve">Команда (фаза 2+)</t>
  </si>
  <si>
    <t xml:space="preserve">+ Java BE parttime, + customer success</t>
  </si>
  <si>
    <t xml:space="preserve">Доступное время основателя</t>
  </si>
  <si>
    <t xml:space="preserve">10–15 ч/нед на фазе 1, 15–20 ч/нед на фазе 2+</t>
  </si>
  <si>
    <t xml:space="preserve">Стартовый бюджет</t>
  </si>
  <si>
    <t xml:space="preserve">$500–1500 на фазу 1 (S0–S2), потом из MRR</t>
  </si>
  <si>
    <t xml:space="preserve">СТРУКТУРА ДОКУМЕНТА</t>
  </si>
  <si>
    <t xml:space="preserve">README</t>
  </si>
  <si>
    <t xml:space="preserve">Этот лист. Главный принцип, метаданные, глоссарий.</t>
  </si>
  <si>
    <t xml:space="preserve">Stages</t>
  </si>
  <si>
    <t xml:space="preserve">6 стадий: S0 (разговор с женой) → S5 (рост). Каждая — самостоятельный продукт с gate-критериями.</t>
  </si>
  <si>
    <t xml:space="preserve">Epics</t>
  </si>
  <si>
    <t xml:space="preserve">Декомпозиция на эпики с оценками часов (FE для основателя, BE для подрядчика).</t>
  </si>
  <si>
    <t xml:space="preserve">Metrics</t>
  </si>
  <si>
    <t xml:space="preserve">KPI и gate-критерии. Фаза 1 — метрики жены. Фаза 2 — метрики рынка.</t>
  </si>
  <si>
    <t xml:space="preserve">Risks</t>
  </si>
  <si>
    <t xml:space="preserve">Реестр рисков. Главное изменение от v0.2 — снижен founder burnout risk (жена как партнёр, не источник нагрузки).</t>
  </si>
  <si>
    <t xml:space="preserve">ГЛОССАРИЙ</t>
  </si>
  <si>
    <t xml:space="preserve">Phase 1 / Фаза 1</t>
  </si>
  <si>
    <t xml:space="preserve">Жена. Стадии S0–S2. Продукт для одного конкретного человека. Бесплатно. Цель — измеримая ценность для жены.</t>
  </si>
  <si>
    <t xml:space="preserve">Phase 2 / Фаза 2</t>
  </si>
  <si>
    <t xml:space="preserve">Рынок. Стадии S3–S5+. Продукт для других кофеен. Платно. Цель — $1M годовой прибыли через 5 лет.</t>
  </si>
  <si>
    <t xml:space="preserve">Wife-Gate</t>
  </si>
  <si>
    <t xml:space="preserve">Критерий перехода Фаза 1 → Фаза 2. Жена сама говорит «без этого хуже» и пользуется 4+ недель подряд.</t>
  </si>
  <si>
    <t xml:space="preserve">Stage / Стадия</t>
  </si>
  <si>
    <t xml:space="preserve">Крупный блок развития. Каждая завершается gate-критерием и решением go/no-go.</t>
  </si>
  <si>
    <t xml:space="preserve">Epic / Эпик</t>
  </si>
  <si>
    <t xml:space="preserve">Модуль внутри стадии. Имеет оценку часов FE и BE отдельно.</t>
  </si>
  <si>
    <t xml:space="preserve">Жена как первый и самый требовательный пользователь.</t>
  </si>
  <si>
    <t xml:space="preserve">Esupl</t>
  </si>
  <si>
    <t xml:space="preserve">Белорусская POS-система, которую использует наша кофейня. Источник данных для продукта.</t>
  </si>
  <si>
    <t xml:space="preserve">MRR / ARR</t>
  </si>
  <si>
    <t xml:space="preserve">Monthly / Annual Recurring Revenue.</t>
  </si>
  <si>
    <t xml:space="preserve">FE / BE</t>
  </si>
  <si>
    <t xml:space="preserve">Frontend / Backend разработка.</t>
  </si>
  <si>
    <t xml:space="preserve">MUST / SHOULD / NICE</t>
  </si>
  <si>
    <t xml:space="preserve">Приоритет эпика. MUST = блокирует стадию, SHOULD = важно, NICE = опционально.</t>
  </si>
  <si>
    <t xml:space="preserve">Stages — карта развития продукта</t>
  </si>
  <si>
    <t xml:space="preserve">Phase 1 (S0–S2, оранжевый): для жены. Phase 2 (S3–S5+, зелёный): для рынка. Переход между фазами требует выполнения Wife-Gate.</t>
  </si>
  <si>
    <t xml:space="preserve">Stage_ID</t>
  </si>
  <si>
    <t xml:space="preserve">Phase</t>
  </si>
  <si>
    <t xml:space="preserve">Name</t>
  </si>
  <si>
    <t xml:space="preserve">Goal</t>
  </si>
  <si>
    <t xml:space="preserve">Duration_weeks</t>
  </si>
  <si>
    <t xml:space="preserve">Budget_USD</t>
  </si>
  <si>
    <t xml:space="preserve">End_Result</t>
  </si>
  <si>
    <t xml:space="preserve">Gate_to_Next</t>
  </si>
  <si>
    <t xml:space="preserve">Notes</t>
  </si>
  <si>
    <t xml:space="preserve">S0</t>
  </si>
  <si>
    <t xml:space="preserve">P1</t>
  </si>
  <si>
    <t xml:space="preserve">Разговор с женой</t>
  </si>
  <si>
    <t xml:space="preserve">Серьёзный двухчасовой разговор о её рутине. Зафиксировать боли. Договориться о совместном проекте.</t>
  </si>
  <si>
    <t xml:space="preserve">Список 5–10 болей, согласие жены, общее видение</t>
  </si>
  <si>
    <t xml:space="preserve">Жена сказала «да, давай попробуем»</t>
  </si>
  <si>
    <t xml:space="preserve">Самый важный шаг. От качества разговора зависит всё остальное.</t>
  </si>
  <si>
    <t xml:space="preserve">S1</t>
  </si>
  <si>
    <t xml:space="preserve">Telegram-бот для жены</t>
  </si>
  <si>
    <t xml:space="preserve">Подключение к Esupl. Простой бот, который раз в неделю присылает сводку + 3 ключевых вопроса. Жена отвечает свободным текстом. Без UI, без онбординга, без биллинга — только бот и она.</t>
  </si>
  <si>
    <t xml:space="preserve">Работающий бот, который интегрирован с Esupl и Claude API</t>
  </si>
  <si>
    <t xml:space="preserve">Жена пользуется 4 нед подряд + говорит «полезно»</t>
  </si>
  <si>
    <t xml:space="preserve">Никакой инфраструктуры для рынка. Только то, что нужно ей.</t>
  </si>
  <si>
    <t xml:space="preserve">S2</t>
  </si>
  <si>
    <t xml:space="preserve">Углубление инсайтов</t>
  </si>
  <si>
    <t xml:space="preserve">Анализ конкурентов через Google Maps. Сравнения поставщиков. Cross-recipe рекомендации. Локальный контекст (погода, события). Реальные данные о ценах.</t>
  </si>
  <si>
    <t xml:space="preserve">Жена использует ежедневно, считает что продукт стал полезнее в 3x</t>
  </si>
  <si>
    <t xml:space="preserve">WIFE-GATE: жена сама говорит «без этого хуже»</t>
  </si>
  <si>
    <t xml:space="preserve">Если Wife-Gate не пройден — стоп. Либо переосмысление, либо kill.</t>
  </si>
  <si>
    <t xml:space="preserve">S3</t>
  </si>
  <si>
    <t xml:space="preserve">P2</t>
  </si>
  <si>
    <t xml:space="preserve">Первые 3 пилота</t>
  </si>
  <si>
    <t xml:space="preserve">Адаптация продукта под других. Минимальный онбординг. 3 знакомые кофейни жены — бесплатные пилоты.</t>
  </si>
  <si>
    <t xml:space="preserve">3 пилота используют 4+ недели, дают качественный фидбек</t>
  </si>
  <si>
    <t xml:space="preserve">Из 3 пилотов — минимум 2 говорят «я бы заплатил»</t>
  </si>
  <si>
    <t xml:space="preserve">Жена помогает с продажами через свой круг. Это её роль здесь.</t>
  </si>
  <si>
    <t xml:space="preserve">S4</t>
  </si>
  <si>
    <t xml:space="preserve">MVP для продаж</t>
  </si>
  <si>
    <t xml:space="preserve">Полноценный онбординг (self-service), биллинг, web-кабинет в дополнение к Telegram-боту. Платные подписки $99–149/мес.</t>
  </si>
  <si>
    <t xml:space="preserve">10+ платящих клиентов, MRR $1K+, retention 80%+</t>
  </si>
  <si>
    <t xml:space="preserve">MRR $1K+ к концу стадии, retention выше 80%</t>
  </si>
  <si>
    <t xml:space="preserve">Появляется Java BE на парт-тайм. Customer success — пока сам.</t>
  </si>
  <si>
    <t xml:space="preserve">S5+</t>
  </si>
  <si>
    <t xml:space="preserve">Рост</t>
  </si>
  <si>
    <t xml:space="preserve">Маркетинг через кейсы. Расширение на смежные ниши (пекарни, мини-сети). Углубление AI-функций. Возможно — partnership с поставщиками.</t>
  </si>
  <si>
    <t xml:space="preserve">52+</t>
  </si>
  <si>
    <t xml:space="preserve">Стабильный рост MRR, движение к $50K+</t>
  </si>
  <si>
    <t xml:space="preserve">MRR ≥ $5K, готовность к найму первого сотрудника</t>
  </si>
  <si>
    <t xml:space="preserve">Дальше — отдельный план. План на 12+ мес — это черновик.</t>
  </si>
  <si>
    <t xml:space="preserve">Epics — детальная разбивка по модулям</t>
  </si>
  <si>
    <t xml:space="preserve">Каждый эпик — атомарный модуль. ID = EP-{stage}.{num}. Hours_FE — твоё время. Hours_BE — Java парт-тайм (на S0–S2 не нужен).</t>
  </si>
  <si>
    <t xml:space="preserve">Epic_ID</t>
  </si>
  <si>
    <t xml:space="preserve">Description</t>
  </si>
  <si>
    <t xml:space="preserve">Priority</t>
  </si>
  <si>
    <t xml:space="preserve">Hours_FE</t>
  </si>
  <si>
    <t xml:space="preserve">Hours_BE</t>
  </si>
  <si>
    <t xml:space="preserve">Hours_Total</t>
  </si>
  <si>
    <t xml:space="preserve">Depends_On</t>
  </si>
  <si>
    <t xml:space="preserve">Acceptance</t>
  </si>
  <si>
    <t xml:space="preserve">Status</t>
  </si>
  <si>
    <t xml:space="preserve">EP-0.1</t>
  </si>
  <si>
    <t xml:space="preserve">Подготовка к разговору</t>
  </si>
  <si>
    <t xml:space="preserve">Подумать вопросы, которые задам. Не «у меня идея для стартапа», а «расскажи мне про твою рутину».</t>
  </si>
  <si>
    <t xml:space="preserve">MUST</t>
  </si>
  <si>
    <t xml:space="preserve">Список из 10–15 открытых вопросов готов</t>
  </si>
  <si>
    <t xml:space="preserve">TODO</t>
  </si>
  <si>
    <t xml:space="preserve">EP-0.2</t>
  </si>
  <si>
    <t xml:space="preserve">Сам разговор</t>
  </si>
  <si>
    <t xml:space="preserve">Серьёзный двухчасовой разговор, не на бегу. С чаем, без детей. Слушать и записывать, не продавать идею.</t>
  </si>
  <si>
    <t xml:space="preserve">Записан конспект, согласие жены, договорённость о роли каждого</t>
  </si>
  <si>
    <t xml:space="preserve">EP-0.3</t>
  </si>
  <si>
    <t xml:space="preserve">Анализ и go/no-go</t>
  </si>
  <si>
    <t xml:space="preserve">Свести услышанное. Определить 3–5 самых острых болей. Принять решение — начинаем или нет.</t>
  </si>
  <si>
    <t xml:space="preserve">Документ с приоритетами + решение go/no-go зафиксировано</t>
  </si>
  <si>
    <t xml:space="preserve">EP-1.1</t>
  </si>
  <si>
    <t xml:space="preserve">Esupl API исследование</t>
  </si>
  <si>
    <t xml:space="preserve">Изучить документацию Esupl API. Понять что доступно: продажи, остатки, рецепты, поставщики. Запросить API-ключ.</t>
  </si>
  <si>
    <t xml:space="preserve">Есть API-ключ. Документация изучена. Knowledge gaps зафиксированы.</t>
  </si>
  <si>
    <t xml:space="preserve">EP-1.2</t>
  </si>
  <si>
    <t xml:space="preserve">Sync продаж и остатков</t>
  </si>
  <si>
    <t xml:space="preserve">Бэкенд-сервис, который раз в час подтягивает данные из Esupl и сохраняет локально.</t>
  </si>
  <si>
    <t xml:space="preserve">Данные нашей кофейни приходят и сохраняются стабильно 7 дней</t>
  </si>
  <si>
    <t xml:space="preserve">EP-1.3</t>
  </si>
  <si>
    <t xml:space="preserve">Хранилище данных</t>
  </si>
  <si>
    <t xml:space="preserve">Простая БД: продажи, остатки, рецепты, история. PostgreSQL на Hetzner/DO ($10/мес).</t>
  </si>
  <si>
    <t xml:space="preserve">БД развёрнута. Миграции работают. Backup настроен.</t>
  </si>
  <si>
    <t xml:space="preserve">EP-1.4</t>
  </si>
  <si>
    <t xml:space="preserve">Базовая аналитика</t>
  </si>
  <si>
    <t xml:space="preserve">Простые метрики: что продаётся, динамика по дням недели, маржа по позициям. Без AI — просто статистика.</t>
  </si>
  <si>
    <t xml:space="preserve">Метрики считаются корректно. Сверка с Esupl admin показывает совпадение.</t>
  </si>
  <si>
    <t xml:space="preserve">EP-1.5</t>
  </si>
  <si>
    <t xml:space="preserve">Telegram-бот: каркас</t>
  </si>
  <si>
    <t xml:space="preserve">Регистрация бота, базовые команды, доставка сообщений жене.</t>
  </si>
  <si>
    <t xml:space="preserve">Бот в Telegram отвечает на /start, доставляет тестовые сообщения</t>
  </si>
  <si>
    <t xml:space="preserve">EP-1.6</t>
  </si>
  <si>
    <t xml:space="preserve">LLM-интеграция</t>
  </si>
  <si>
    <t xml:space="preserve">Подключение Claude API. Промпт-инжиниринг для генерации еженедельной сводки на основе данных.</t>
  </si>
  <si>
    <t xml:space="preserve">LLM генерирует осмысленную сводку на основе реальных данных недели</t>
  </si>
  <si>
    <t xml:space="preserve">EP-1.7</t>
  </si>
  <si>
    <t xml:space="preserve">Еженедельный отчёт</t>
  </si>
  <si>
    <t xml:space="preserve">Краткая сводка + 3 главных вопроса для обсуждения. Формат который жена реально читает.</t>
  </si>
  <si>
    <t xml:space="preserve">EP-1.5, EP-1.6</t>
  </si>
  <si>
    <t xml:space="preserve">Жена получает первый отчёт в назначенное время и говорит «понятно»</t>
  </si>
  <si>
    <t xml:space="preserve">EP-1.8</t>
  </si>
  <si>
    <t xml:space="preserve">Свободный диалог</t>
  </si>
  <si>
    <t xml:space="preserve">Жена может ответить «вот это не сработало» или задать вопрос. AI отвечает осмысленно.</t>
  </si>
  <si>
    <t xml:space="preserve">Жена ведёт диалог хотя бы по 1 сообщению в день</t>
  </si>
  <si>
    <t xml:space="preserve">EP-1.9</t>
  </si>
  <si>
    <t xml:space="preserve">Итерации по фидбеку</t>
  </si>
  <si>
    <t xml:space="preserve">4 недели использования женой → итерации по её фидбеку. Не «фичи», а полировка.</t>
  </si>
  <si>
    <t xml:space="preserve">Жена пользуется ежедневно 4 нед подряд, говорит «полезно»</t>
  </si>
  <si>
    <t xml:space="preserve">EP-2.1</t>
  </si>
  <si>
    <t xml:space="preserve">Google Maps reviews парсер</t>
  </si>
  <si>
    <t xml:space="preserve">Парсинг отзывов через Google My Business API (OAuth от имени кофейни).</t>
  </si>
  <si>
    <t xml:space="preserve">Отзывы нашей кофейни приходят в систему. Анализ sentiment работает.</t>
  </si>
  <si>
    <t xml:space="preserve">EP-2.2</t>
  </si>
  <si>
    <t xml:space="preserve">Анализ конкурентов района</t>
  </si>
  <si>
    <t xml:space="preserve">Список 5–10 ближайших кофеен. Их Google Maps данные, ассортимент (по фото и описаниям), цены.</t>
  </si>
  <si>
    <t xml:space="preserve">Жена видит сводку «конкуренты вокруг» и говорит «полезно»</t>
  </si>
  <si>
    <t xml:space="preserve">EP-2.3</t>
  </si>
  <si>
    <t xml:space="preserve">База поставщиков и цен</t>
  </si>
  <si>
    <t xml:space="preserve">Ручной сбор: 30–50 поставщиков Минска для кофеен. Их прайс-листы. Структурированная БД.</t>
  </si>
  <si>
    <t xml:space="preserve">База содержит 30+ поставщиков с актуальными ценами на ключевые SKU</t>
  </si>
  <si>
    <t xml:space="preserve">EP-2.4</t>
  </si>
  <si>
    <t xml:space="preserve">Сравнение поставщиков</t>
  </si>
  <si>
    <t xml:space="preserve">AI-инструмент: «вы покупаете X у поставщика A за $42, у B есть за $38 при тех же условиях».</t>
  </si>
  <si>
    <t xml:space="preserve">Жена получает 1–3 валидные рекомендации в месяц с экономическим эффектом</t>
  </si>
  <si>
    <t xml:space="preserve">EP-2.5</t>
  </si>
  <si>
    <t xml:space="preserve">Cross-recipe анализ</t>
  </si>
  <si>
    <t xml:space="preserve">Анализ ингредиентов: какие комбинации открывают новые позиции в меню с минимальной дозакупкой.</t>
  </si>
  <si>
    <t xml:space="preserve">Минимум 3 рекомендации новых блюд за месяц, из которых хотя бы 1 жена попробует</t>
  </si>
  <si>
    <t xml:space="preserve">EP-2.6</t>
  </si>
  <si>
    <t xml:space="preserve">Локальный контекст</t>
  </si>
  <si>
    <t xml:space="preserve">Погода (OpenWeather), события района (парсер афиш), праздники. Корректировка прогнозов.</t>
  </si>
  <si>
    <t xml:space="preserve">SHOULD</t>
  </si>
  <si>
    <t xml:space="preserve">Прогноз учитывает контекст. Точность улучшается на 5%+</t>
  </si>
  <si>
    <t xml:space="preserve">EP-2.7</t>
  </si>
  <si>
    <t xml:space="preserve">Wife-Gate проверка</t>
  </si>
  <si>
    <t xml:space="preserve">Финал фазы 1. Серьёзный разговор с женой: пользуется ли, чего не хватает, готова ли показать знакомым.</t>
  </si>
  <si>
    <t xml:space="preserve">EP-2.1, EP-2.2, EP-2.3, EP-2.4, EP-2.5</t>
  </si>
  <si>
    <t xml:space="preserve">Документированный ответ. Решение go/no-go по Phase 2.</t>
  </si>
  <si>
    <t xml:space="preserve">EP-3.1</t>
  </si>
  <si>
    <t xml:space="preserve">Multi-tenant архитектура</t>
  </si>
  <si>
    <t xml:space="preserve">Переход от «один пользователь» к «несколько кофеен в одной системе». Изоляция данных.</t>
  </si>
  <si>
    <t xml:space="preserve">В системе можно зарегистрировать N кофеен. Данные изолированы.</t>
  </si>
  <si>
    <t xml:space="preserve">EP-3.2</t>
  </si>
  <si>
    <t xml:space="preserve">Onboarding flow</t>
  </si>
  <si>
    <t xml:space="preserve">Минимальный процесс подключения новой кофейни: Esupl OAuth → настройка → первый отчёт. До 1 часа.</t>
  </si>
  <si>
    <t xml:space="preserve">Новая кофейня может подключиться за час без участия founder</t>
  </si>
  <si>
    <t xml:space="preserve">EP-3.3</t>
  </si>
  <si>
    <t xml:space="preserve">Адаптация AI под разных</t>
  </si>
  <si>
    <t xml:space="preserve">Промпты, которые работают не только для нашей кофейни. Учёт разного формата (спешалти, сетевая, бистро).</t>
  </si>
  <si>
    <t xml:space="preserve">Качество сводки для пилотов не хуже чем у жены</t>
  </si>
  <si>
    <t xml:space="preserve">EP-3.4</t>
  </si>
  <si>
    <t xml:space="preserve">Поиск 3 пилотов</t>
  </si>
  <si>
    <t xml:space="preserve">Жена использует свой круг знакомых владельцев. Отбор по критериям: реальная боль + готовность давать фидбек.</t>
  </si>
  <si>
    <t xml:space="preserve">3 кофейни подписаны на пилот</t>
  </si>
  <si>
    <t xml:space="preserve">EP-3.5</t>
  </si>
  <si>
    <t xml:space="preserve">Onboarding пилотов</t>
  </si>
  <si>
    <t xml:space="preserve">Hands-on помощь первым 3 кофейням. Документация по факту.</t>
  </si>
  <si>
    <t xml:space="preserve">EP-3.2, EP-3.4</t>
  </si>
  <si>
    <t xml:space="preserve">3 пилота используют систему еженедельно</t>
  </si>
  <si>
    <t xml:space="preserve">EP-3.6</t>
  </si>
  <si>
    <t xml:space="preserve">Customer interview цикл</t>
  </si>
  <si>
    <t xml:space="preserve">Регулярные звонки с пилотами раз в 2 нед. Сбор фидбека. Итерации.</t>
  </si>
  <si>
    <t xml:space="preserve">10+ зафиксированных интервью + список изменений сделан</t>
  </si>
  <si>
    <t xml:space="preserve">EP-3.7</t>
  </si>
  <si>
    <t xml:space="preserve">Pilot-to-paid решение</t>
  </si>
  <si>
    <t xml:space="preserve">Через 4 недели использования — разговор: «готовы платить?». Минимум 2 из 3 говорят «да».</t>
  </si>
  <si>
    <t xml:space="preserve">Минимум 2 из 3 пилотов подтверждают willingness-to-pay</t>
  </si>
  <si>
    <t xml:space="preserve">EP-4.1</t>
  </si>
  <si>
    <t xml:space="preserve">Web-кабинет</t>
  </si>
  <si>
    <t xml:space="preserve">Полноценный web UI: дашборд, история, настройки, аналитика. Не только Telegram.</t>
  </si>
  <si>
    <t xml:space="preserve">Все функции Telegram доступны в web + аналитика. Responsive дизайн.</t>
  </si>
  <si>
    <t xml:space="preserve">EP-4.2</t>
  </si>
  <si>
    <t xml:space="preserve">Биллинг</t>
  </si>
  <si>
    <t xml:space="preserve">Интеграция с платёжной системой (Stripe / белорусский эквивалент). Тарифы, отмена, чеки.</t>
  </si>
  <si>
    <t xml:space="preserve">Клиент может оплатить и отменить подписку самостоятельно</t>
  </si>
  <si>
    <t xml:space="preserve">EP-4.3</t>
  </si>
  <si>
    <t xml:space="preserve">Self-service onboarding</t>
  </si>
  <si>
    <t xml:space="preserve">Никакого участия основателя. Видео-туториалы, in-app guides.</t>
  </si>
  <si>
    <t xml:space="preserve">EP-3.2, EP-4.1</t>
  </si>
  <si>
    <t xml:space="preserve">Новый клиент проходит онбординг за 30–45 мин без support</t>
  </si>
  <si>
    <t xml:space="preserve">EP-4.4</t>
  </si>
  <si>
    <t xml:space="preserve">Support базовый</t>
  </si>
  <si>
    <t xml:space="preserve">Email + Telegram support. SLA 24ч. База знаний (Notion).</t>
  </si>
  <si>
    <t xml:space="preserve">SLA выполняется. База знаний покрывает 80% вопросов.</t>
  </si>
  <si>
    <t xml:space="preserve">EP-4.5</t>
  </si>
  <si>
    <t xml:space="preserve">iiko коннектор</t>
  </si>
  <si>
    <t xml:space="preserve">Расширение TAM: помимо Esupl поддерживаем iiko (доминирует в РФ).</t>
  </si>
  <si>
    <t xml:space="preserve">iiko-клиент может подключиться и получать качественную сводку</t>
  </si>
  <si>
    <t xml:space="preserve">EP-4.6</t>
  </si>
  <si>
    <t xml:space="preserve">Маркетинг материалы</t>
  </si>
  <si>
    <t xml:space="preserve">Лендинг v2, кейсы пилотов с цифрами, контент-маркетинг (3 статьи), listing в Esupl Marketplace.</t>
  </si>
  <si>
    <t xml:space="preserve">Лендинг живой. Кейсы написаны. Esupl listing подан.</t>
  </si>
  <si>
    <t xml:space="preserve">EP-4.7</t>
  </si>
  <si>
    <t xml:space="preserve">Первые 10 платящих</t>
  </si>
  <si>
    <t xml:space="preserve">Founder-led sales через жену + сеть + Esupl Marketplace. Цель — 10 платящих за 12 нед.</t>
  </si>
  <si>
    <t xml:space="preserve">10+ платящих клиентов, MRR ≥ $1K</t>
  </si>
  <si>
    <t xml:space="preserve">EP-5.1</t>
  </si>
  <si>
    <t xml:space="preserve">Кейсы клиентов</t>
  </si>
  <si>
    <t xml:space="preserve">Развёрнутые истории первых 5–10 клиентов: что было до, что стало, измеримая экономия/доход.</t>
  </si>
  <si>
    <t xml:space="preserve">5 опубликованных кейсов с конкретными цифрами</t>
  </si>
  <si>
    <t xml:space="preserve">EP-5.2</t>
  </si>
  <si>
    <t xml:space="preserve">Расширение в пекарни</t>
  </si>
  <si>
    <t xml:space="preserve">Адаптация продукта под пекарни. Они закупают чаще и боль острее.</t>
  </si>
  <si>
    <t xml:space="preserve">3+ пекарни в платных пилотах</t>
  </si>
  <si>
    <t xml:space="preserve">EP-5.3</t>
  </si>
  <si>
    <t xml:space="preserve">Поддержка мини-сетей</t>
  </si>
  <si>
    <t xml:space="preserve">Мини-сети 2–5 точек — премиум-сегмент $299/мес.</t>
  </si>
  <si>
    <t xml:space="preserve">2+ мини-сети подключены, новый tier работает</t>
  </si>
  <si>
    <t xml:space="preserve">EP-5.4</t>
  </si>
  <si>
    <t xml:space="preserve">Customer Success человек</t>
  </si>
  <si>
    <t xml:space="preserve">Найм/контрактор на 10–15 ч/нед для поддержки и онбординга.</t>
  </si>
  <si>
    <t xml:space="preserve">Customer success парт-тайм работает, founder тратит ≤4 ч/нед на support</t>
  </si>
  <si>
    <t xml:space="preserve">ИТОГО ПО ВСЕМ СТАДИЯМ</t>
  </si>
  <si>
    <t xml:space="preserve">Subtotals by stage:</t>
  </si>
  <si>
    <t xml:space="preserve">Metrics — gate-критерии и KPI</t>
  </si>
  <si>
    <t xml:space="preserve">Фаза 1 — метрики жены. Фаза 2 — метрики рынка. Wife-Gate (M2.0) — самая важная.</t>
  </si>
  <si>
    <t xml:space="preserve">Metric_ID</t>
  </si>
  <si>
    <t xml:space="preserve">Metric_Name</t>
  </si>
  <si>
    <t xml:space="preserve">Target</t>
  </si>
  <si>
    <t xml:space="preserve">Type</t>
  </si>
  <si>
    <t xml:space="preserve">How_to_Measure</t>
  </si>
  <si>
    <t xml:space="preserve">MTR-0.1</t>
  </si>
  <si>
    <t xml:space="preserve">Согласие жены</t>
  </si>
  <si>
    <t xml:space="preserve">Жена сказала «давай»</t>
  </si>
  <si>
    <t xml:space="preserve">GATE</t>
  </si>
  <si>
    <t xml:space="preserve">Просто прямой разговор. Согласие должно быть искренним, не из вежливости.</t>
  </si>
  <si>
    <t xml:space="preserve">MTR-0.2</t>
  </si>
  <si>
    <t xml:space="preserve">Список болей</t>
  </si>
  <si>
    <t xml:space="preserve">≥5 конкретных болей</t>
  </si>
  <si>
    <t xml:space="preserve">Не общие «всё надоело», а конкретные ситуации с цифрами</t>
  </si>
  <si>
    <t xml:space="preserve">MTR-1.1</t>
  </si>
  <si>
    <t xml:space="preserve">Esupl интеграция работает</t>
  </si>
  <si>
    <t xml:space="preserve">Sync 7 дней без сбоев</t>
  </si>
  <si>
    <t xml:space="preserve">Логи sync-сервиса</t>
  </si>
  <si>
    <t xml:space="preserve">MTR-1.2</t>
  </si>
  <si>
    <t xml:space="preserve">Жена получила первый отчёт</t>
  </si>
  <si>
    <t xml:space="preserve">Получила и прочитала</t>
  </si>
  <si>
    <t xml:space="preserve">Бот доставил, жена ответила</t>
  </si>
  <si>
    <t xml:space="preserve">MTR-1.3</t>
  </si>
  <si>
    <t xml:space="preserve">Использование 4 нед подряд</t>
  </si>
  <si>
    <t xml:space="preserve">Жена реагирует на каждый отчёт</t>
  </si>
  <si>
    <t xml:space="preserve">Логи Telegram: ответы жены на еженедельные отчёты</t>
  </si>
  <si>
    <t xml:space="preserve">MTR-1.4</t>
  </si>
  <si>
    <t xml:space="preserve">Качественная оценка</t>
  </si>
  <si>
    <t xml:space="preserve">Жена говорит «полезно»</t>
  </si>
  <si>
    <t xml:space="preserve">Прямой вопрос на чек-поинте: «полезно тебе это?»</t>
  </si>
  <si>
    <t xml:space="preserve">MTR-2.0</t>
  </si>
  <si>
    <t xml:space="preserve">WIFE-GATE</t>
  </si>
  <si>
    <t xml:space="preserve">Жена говорит «без этого хуже»</t>
  </si>
  <si>
    <t xml:space="preserve">Главный критерий перехода в Phase 2. Прямой вопрос с честным ответом.</t>
  </si>
  <si>
    <t xml:space="preserve">MTR-2.1</t>
  </si>
  <si>
    <t xml:space="preserve">Сэкономлено времени</t>
  </si>
  <si>
    <t xml:space="preserve">≥3 ч/нед</t>
  </si>
  <si>
    <t xml:space="preserve">KPI</t>
  </si>
  <si>
    <t xml:space="preserve">Сравнение: сколько времени занимало до и после</t>
  </si>
  <si>
    <t xml:space="preserve">MTR-2.2</t>
  </si>
  <si>
    <t xml:space="preserve">Конкретные применённые рекомендации</t>
  </si>
  <si>
    <t xml:space="preserve">≥5 за 8 нед</t>
  </si>
  <si>
    <t xml:space="preserve">Жена реально что-то сделала по совету системы и зафиксировала результат</t>
  </si>
  <si>
    <t xml:space="preserve">MTR-2.3</t>
  </si>
  <si>
    <t xml:space="preserve">Готовность показать знакомым</t>
  </si>
  <si>
    <t xml:space="preserve">Да</t>
  </si>
  <si>
    <t xml:space="preserve">Жена готова рекомендовать продукт своим знакомым владельцам</t>
  </si>
  <si>
    <t xml:space="preserve">MTR-3.1</t>
  </si>
  <si>
    <t xml:space="preserve">Пилоты подключены</t>
  </si>
  <si>
    <t xml:space="preserve">3 кофейни</t>
  </si>
  <si>
    <t xml:space="preserve">Подключены и пользуются</t>
  </si>
  <si>
    <t xml:space="preserve">MTR-3.2</t>
  </si>
  <si>
    <t xml:space="preserve">Активное использование пилотами</t>
  </si>
  <si>
    <t xml:space="preserve">3/3 пилота 4+ нед</t>
  </si>
  <si>
    <t xml:space="preserve">Логи использования</t>
  </si>
  <si>
    <t xml:space="preserve">MTR-3.3</t>
  </si>
  <si>
    <t xml:space="preserve">Pilot-to-paid intent</t>
  </si>
  <si>
    <t xml:space="preserve">≥2 из 3</t>
  </si>
  <si>
    <t xml:space="preserve">Прямой вопрос «готовы платить $99/мес?» — минимум 2 «да»</t>
  </si>
  <si>
    <t xml:space="preserve">MTR-3.4</t>
  </si>
  <si>
    <t xml:space="preserve">Измеримая ценность</t>
  </si>
  <si>
    <t xml:space="preserve">≥2 пилота с конкретными цифрами</t>
  </si>
  <si>
    <t xml:space="preserve">Сэкономлено $X или Y часов в неделю — конкретные цифры</t>
  </si>
  <si>
    <t xml:space="preserve">MTR-4.1</t>
  </si>
  <si>
    <t xml:space="preserve">Платящих клиентов</t>
  </si>
  <si>
    <t xml:space="preserve">≥10</t>
  </si>
  <si>
    <t xml:space="preserve">Активные подписки</t>
  </si>
  <si>
    <t xml:space="preserve">MTR-4.2</t>
  </si>
  <si>
    <t xml:space="preserve">MRR</t>
  </si>
  <si>
    <t xml:space="preserve">≥$1,000</t>
  </si>
  <si>
    <t xml:space="preserve">Стандартный SaaS-расчёт</t>
  </si>
  <si>
    <t xml:space="preserve">MTR-4.3</t>
  </si>
  <si>
    <t xml:space="preserve">Retention 4-week</t>
  </si>
  <si>
    <t xml:space="preserve">≥80%</t>
  </si>
  <si>
    <t xml:space="preserve">Стандартная cohort retention</t>
  </si>
  <si>
    <t xml:space="preserve">MTR-4.4</t>
  </si>
  <si>
    <t xml:space="preserve">≥80% без support</t>
  </si>
  <si>
    <t xml:space="preserve">Доля клиентов, которые подключились без участия founder</t>
  </si>
  <si>
    <t xml:space="preserve">MTR-4.5</t>
  </si>
  <si>
    <t xml:space="preserve">KILL</t>
  </si>
  <si>
    <t xml:space="preserve">MRR&lt;$500 + retention&lt;60% к мес 12</t>
  </si>
  <si>
    <t xml:space="preserve">Публичное обязательство. Закрытие проекта без сожалений.</t>
  </si>
  <si>
    <t xml:space="preserve">MTR-5.1</t>
  </si>
  <si>
    <t xml:space="preserve">MRR год 2</t>
  </si>
  <si>
    <t xml:space="preserve">≥$5K</t>
  </si>
  <si>
    <t xml:space="preserve">MTR-5.2</t>
  </si>
  <si>
    <t xml:space="preserve">Готовность нанять</t>
  </si>
  <si>
    <t xml:space="preserve">Cash flow покрывает зарплату</t>
  </si>
  <si>
    <t xml:space="preserve">MTR-5.3</t>
  </si>
  <si>
    <t xml:space="preserve">MRR год 5 цель</t>
  </si>
  <si>
    <t xml:space="preserve">$80K+</t>
  </si>
  <si>
    <t xml:space="preserve">Путь к $1M годовой прибыли</t>
  </si>
  <si>
    <t xml:space="preserve">Risks — реестр с митигациями</t>
  </si>
  <si>
    <t xml:space="preserve">Главное изменение от v0.2: founder burnout снизился, потому что жена = партнёр не обуза. Появился новый риск: жена скажет «не пользуюсь».</t>
  </si>
  <si>
    <t xml:space="preserve">Risk_ID</t>
  </si>
  <si>
    <t xml:space="preserve">Category</t>
  </si>
  <si>
    <t xml:space="preserve">Risk_Description</t>
  </si>
  <si>
    <t xml:space="preserve">Severity</t>
  </si>
  <si>
    <t xml:space="preserve">Probability</t>
  </si>
  <si>
    <t xml:space="preserve">Score</t>
  </si>
  <si>
    <t xml:space="preserve">Mitigation</t>
  </si>
  <si>
    <t xml:space="preserve">RSK-001</t>
  </si>
  <si>
    <t xml:space="preserve">Critical</t>
  </si>
  <si>
    <t xml:space="preserve">Жена скажет «не пользуюсь» — Phase 1 провалена</t>
  </si>
  <si>
    <t xml:space="preserve">HIGH</t>
  </si>
  <si>
    <t xml:space="preserve">MEDIUM</t>
  </si>
  <si>
    <t xml:space="preserve">Главное: договориться о критериях ДО разработки. Если не пройден wife-gate — честный pivot или kill, не «давай ещё попробуем». Customer Zero защищает от 70% этого риска.</t>
  </si>
  <si>
    <t xml:space="preserve">RSK-002</t>
  </si>
  <si>
    <t xml:space="preserve">P1, P2</t>
  </si>
  <si>
    <t xml:space="preserve">Founder</t>
  </si>
  <si>
    <t xml:space="preserve">Я перестану выкладываться, потому что не на работе и без давления</t>
  </si>
  <si>
    <t xml:space="preserve">Жена как daily accountability — она будет ждать улучшения каждую неделю. Это сильнее любого внешнего давления.</t>
  </si>
  <si>
    <t xml:space="preserve">RSK-003</t>
  </si>
  <si>
    <t xml:space="preserve">Technical</t>
  </si>
  <si>
    <t xml:space="preserve">Esupl API недостаточен или сложен</t>
  </si>
  <si>
    <t xml:space="preserve">Проверить API на неделе 1 (EP-1.1). Альтернатива — CSV-экспорт от жены вручную, потом автоматизация.</t>
  </si>
  <si>
    <t xml:space="preserve">RSK-004</t>
  </si>
  <si>
    <t xml:space="preserve">Personal</t>
  </si>
  <si>
    <t xml:space="preserve">Семейный конфликт из-за совместного проекта</t>
  </si>
  <si>
    <t xml:space="preserve">LOW</t>
  </si>
  <si>
    <t xml:space="preserve">Чёткие роли: ты строишь, она использует. Не «работаем вместе над кодом». Регулярные чек-пойнты обсуждения границ.</t>
  </si>
  <si>
    <t xml:space="preserve">RSK-005</t>
  </si>
  <si>
    <t xml:space="preserve">Market</t>
  </si>
  <si>
    <t xml:space="preserve">Esupl запустит «Умные закупки» и закроет нашу нишу</t>
  </si>
  <si>
    <t xml:space="preserve">Их фокус — POS-функции. Наш фокус — стратегическая аналитика + внешний контекст. Не пересекается напрямую. Окно 18–24 мес для построения brand.</t>
  </si>
  <si>
    <t xml:space="preserve">RSK-006</t>
  </si>
  <si>
    <t xml:space="preserve">Пилоты не конвертятся в платных клиентов</t>
  </si>
  <si>
    <t xml:space="preserve">Делаем pilot-to-paid решение в S3 — если 2 из 3 не говорят «заплачу», переосмысление цены/продукта.</t>
  </si>
  <si>
    <t xml:space="preserve">RSK-007</t>
  </si>
  <si>
    <t xml:space="preserve">Не справлюсь с продажами/общением — технарь</t>
  </si>
  <si>
    <t xml:space="preserve">Жена помогает через свой круг знакомых. Это её сильная сторона — она социальный человек, в отличие от меня.</t>
  </si>
  <si>
    <t xml:space="preserve">RSK-008</t>
  </si>
  <si>
    <t xml:space="preserve">Hallucinations LLM — неверные стратегические рекомендации</t>
  </si>
  <si>
    <t xml:space="preserve">Принцип: AI показывает данные + аргументы, человек принимает решение. Никогда не «AI решил». Это в дизайн UX заложено с S1.</t>
  </si>
  <si>
    <t xml:space="preserve">RSK-009</t>
  </si>
  <si>
    <t xml:space="preserve">Стоимость LLM API растёт быстрее MRR</t>
  </si>
  <si>
    <t xml:space="preserve">Cap на тариф + кеширование + гибрид правила+LLM (LLM только для генерации текста, расчёты в коде).</t>
  </si>
  <si>
    <t xml:space="preserve">RSK-010</t>
  </si>
  <si>
    <t xml:space="preserve">Financial</t>
  </si>
  <si>
    <t xml:space="preserve">Бюджет S3+ выходит за рамки comfort zone семьи</t>
  </si>
  <si>
    <t xml:space="preserve">До S3 не идём, пока wife-gate не пройден. После — расходы покрываются из MRR или останавливаемся.</t>
  </si>
  <si>
    <t xml:space="preserve">RSK-011</t>
  </si>
  <si>
    <t xml:space="preserve">Data</t>
  </si>
  <si>
    <t xml:space="preserve">Грязные данные в Esupl делают анализ бессмысленным</t>
  </si>
  <si>
    <t xml:space="preserve">Жена сама ведёт данные — у неё в Esupl всё чисто. Это наш Customer Zero advantage. Для пилотов — аудит данных при онбординге.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</si>
</sst>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1"/>
      <color rgb="FF7A7268"/>
      <name val="Arial"/>
      <family val="0"/>
      <charset val="1"/>
    </font>
    <font>
      <b val="true"/>
      <sz val="12"/>
      <color rgb="FFA04A32"/>
      <name val="Arial"/>
      <family val="0"/>
      <charset val="1"/>
    </font>
    <font>
      <b val="true"/>
      <i val="true"/>
      <sz val="13"/>
      <color rgb="FFA04A3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7A72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A04A32"/>
      <name val="Arial"/>
      <family val="0"/>
      <charset val="1"/>
    </font>
    <font>
      <b val="true"/>
      <sz val="10"/>
      <color rgb="FFA04A32"/>
      <name val="Arial"/>
      <family val="0"/>
      <charset val="1"/>
    </font>
    <font>
      <b val="true"/>
      <sz val="11"/>
      <color rgb="FF2D5F3F"/>
      <name val="Arial"/>
      <family val="0"/>
      <charset val="1"/>
    </font>
    <font>
      <b val="true"/>
      <sz val="10"/>
      <color rgb="FF2D5F3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9"/>
      <color rgb="FFA04A3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B2E2E"/>
      <name val="Arial"/>
      <family val="0"/>
      <charset val="1"/>
    </font>
    <font>
      <sz val="9"/>
      <color rgb="FFB8860B"/>
      <name val="Arial"/>
      <family val="0"/>
      <charset val="1"/>
    </font>
    <font>
      <b val="true"/>
      <sz val="9"/>
      <color rgb="FF2D5F3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7A726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A5F"/>
      <name val="Arial"/>
      <family val="0"/>
      <charset val="1"/>
    </font>
    <font>
      <sz val="10"/>
      <color rgb="FF2D5F3F"/>
      <name val="Arial"/>
      <family val="0"/>
      <charset val="1"/>
    </font>
    <font>
      <sz val="10"/>
      <color rgb="FF8B2E2E"/>
      <name val="Arial"/>
      <family val="0"/>
      <charset val="1"/>
    </font>
    <font>
      <sz val="10"/>
      <color rgb="FFB8860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CF2F0"/>
        <bgColor rgb="FFFFF8E1"/>
      </patternFill>
    </fill>
    <fill>
      <patternFill patternType="solid">
        <fgColor rgb="FFD5DCE6"/>
        <bgColor rgb="FFCCCCCC"/>
      </patternFill>
    </fill>
    <fill>
      <patternFill patternType="solid">
        <fgColor rgb="FF1F3A5F"/>
        <bgColor rgb="FF333399"/>
      </patternFill>
    </fill>
    <fill>
      <patternFill patternType="solid">
        <fgColor rgb="FFF8FAFB"/>
        <bgColor rgb="FFFFFFFF"/>
      </patternFill>
    </fill>
    <fill>
      <patternFill patternType="solid">
        <fgColor rgb="FFF0F7F0"/>
        <bgColor rgb="FFF8FAFB"/>
      </patternFill>
    </fill>
    <fill>
      <patternFill patternType="solid">
        <fgColor rgb="FFFFF8E1"/>
        <bgColor rgb="FFFCF2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7A7268"/>
      <rgbColor rgb="FF9999FF"/>
      <rgbColor rgb="FFA04A32"/>
      <rgbColor rgb="FFFFF8E1"/>
      <rgbColor rgb="FFF0F7F0"/>
      <rgbColor rgb="FF660066"/>
      <rgbColor rgb="FFFF8080"/>
      <rgbColor rgb="FF0066CC"/>
      <rgbColor rgb="FFD5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B"/>
      <rgbColor rgb="FFCCFFCC"/>
      <rgbColor rgb="FFFCF2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8B2E2E"/>
      <rgbColor rgb="FF993366"/>
      <rgbColor rgb="FF333399"/>
      <rgbColor rgb="FF2D5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2"/>
  </cols>
  <sheetData>
    <row r="1" customFormat="false" ht="31.5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21.75" hidden="false" customHeight="true" outlineLevel="0" collapsed="false">
      <c r="A5" s="4" t="s">
        <v>3</v>
      </c>
      <c r="B5" s="4"/>
    </row>
    <row r="6" customFormat="false" ht="36" hidden="false" customHeight="true" outlineLevel="0" collapsed="false">
      <c r="A6" s="5" t="s">
        <v>4</v>
      </c>
      <c r="B6" s="5"/>
    </row>
    <row r="8" customFormat="false" ht="15" hidden="false" customHeight="false" outlineLevel="0" collapsed="false">
      <c r="A8" s="6" t="s">
        <v>5</v>
      </c>
      <c r="B8" s="6"/>
    </row>
    <row r="9" customFormat="false" ht="18" hidden="false" customHeight="true" outlineLevel="0" collapsed="false">
      <c r="A9" s="7" t="s">
        <v>6</v>
      </c>
      <c r="B9" s="8" t="s">
        <v>7</v>
      </c>
    </row>
    <row r="10" customFormat="false" ht="18" hidden="false" customHeight="true" outlineLevel="0" collapsed="false">
      <c r="A10" s="7" t="s">
        <v>8</v>
      </c>
      <c r="B10" s="8" t="s">
        <v>9</v>
      </c>
    </row>
    <row r="11" customFormat="false" ht="18" hidden="false" customHeight="true" outlineLevel="0" collapsed="false">
      <c r="A11" s="7" t="s">
        <v>10</v>
      </c>
      <c r="B11" s="8" t="s">
        <v>11</v>
      </c>
    </row>
    <row r="12" customFormat="false" ht="18" hidden="false" customHeight="true" outlineLevel="0" collapsed="false">
      <c r="A12" s="7" t="s">
        <v>12</v>
      </c>
      <c r="B12" s="8" t="s">
        <v>13</v>
      </c>
    </row>
    <row r="13" customFormat="false" ht="18" hidden="false" customHeight="true" outlineLevel="0" collapsed="false">
      <c r="A13" s="7" t="s">
        <v>14</v>
      </c>
      <c r="B13" s="8" t="s">
        <v>15</v>
      </c>
    </row>
    <row r="14" customFormat="false" ht="18" hidden="false" customHeight="true" outlineLevel="0" collapsed="false">
      <c r="A14" s="7" t="s">
        <v>16</v>
      </c>
      <c r="B14" s="8" t="s">
        <v>17</v>
      </c>
    </row>
    <row r="15" customFormat="false" ht="18" hidden="false" customHeight="true" outlineLevel="0" collapsed="false">
      <c r="A15" s="7" t="s">
        <v>18</v>
      </c>
      <c r="B15" s="8" t="s">
        <v>19</v>
      </c>
    </row>
    <row r="16" customFormat="false" ht="18" hidden="false" customHeight="true" outlineLevel="0" collapsed="false">
      <c r="A16" s="7" t="s">
        <v>20</v>
      </c>
      <c r="B16" s="8" t="s">
        <v>21</v>
      </c>
    </row>
    <row r="17" customFormat="false" ht="18" hidden="false" customHeight="true" outlineLevel="0" collapsed="false">
      <c r="A17" s="7" t="s">
        <v>22</v>
      </c>
      <c r="B17" s="8" t="s">
        <v>23</v>
      </c>
    </row>
    <row r="18" customFormat="false" ht="18" hidden="false" customHeight="true" outlineLevel="0" collapsed="false">
      <c r="A18" s="7" t="s">
        <v>24</v>
      </c>
      <c r="B18" s="8" t="s">
        <v>25</v>
      </c>
    </row>
    <row r="20" customFormat="false" ht="15" hidden="false" customHeight="false" outlineLevel="0" collapsed="false">
      <c r="A20" s="6" t="s">
        <v>26</v>
      </c>
      <c r="B20" s="6"/>
    </row>
    <row r="21" customFormat="false" ht="18" hidden="false" customHeight="true" outlineLevel="0" collapsed="false">
      <c r="A21" s="9" t="s">
        <v>27</v>
      </c>
      <c r="B21" s="8" t="s">
        <v>28</v>
      </c>
    </row>
    <row r="22" customFormat="false" ht="18" hidden="false" customHeight="true" outlineLevel="0" collapsed="false">
      <c r="A22" s="9" t="s">
        <v>29</v>
      </c>
      <c r="B22" s="8" t="s">
        <v>30</v>
      </c>
    </row>
    <row r="23" customFormat="false" ht="18" hidden="false" customHeight="true" outlineLevel="0" collapsed="false">
      <c r="A23" s="9" t="s">
        <v>31</v>
      </c>
      <c r="B23" s="8" t="s">
        <v>32</v>
      </c>
    </row>
    <row r="24" customFormat="false" ht="18" hidden="false" customHeight="true" outlineLevel="0" collapsed="false">
      <c r="A24" s="9" t="s">
        <v>33</v>
      </c>
      <c r="B24" s="8" t="s">
        <v>34</v>
      </c>
    </row>
    <row r="25" customFormat="false" ht="18" hidden="false" customHeight="true" outlineLevel="0" collapsed="false">
      <c r="A25" s="9" t="s">
        <v>35</v>
      </c>
      <c r="B25" s="8" t="s">
        <v>36</v>
      </c>
    </row>
    <row r="27" customFormat="false" ht="15" hidden="false" customHeight="false" outlineLevel="0" collapsed="false">
      <c r="A27" s="6" t="s">
        <v>37</v>
      </c>
      <c r="B27" s="6"/>
    </row>
    <row r="28" customFormat="false" ht="27.75" hidden="false" customHeight="true" outlineLevel="0" collapsed="false">
      <c r="A28" s="7" t="s">
        <v>38</v>
      </c>
      <c r="B28" s="8" t="s">
        <v>39</v>
      </c>
    </row>
    <row r="29" customFormat="false" ht="27.75" hidden="false" customHeight="true" outlineLevel="0" collapsed="false">
      <c r="A29" s="7" t="s">
        <v>40</v>
      </c>
      <c r="B29" s="8" t="s">
        <v>41</v>
      </c>
    </row>
    <row r="30" customFormat="false" ht="27.75" hidden="false" customHeight="true" outlineLevel="0" collapsed="false">
      <c r="A30" s="7" t="s">
        <v>42</v>
      </c>
      <c r="B30" s="8" t="s">
        <v>43</v>
      </c>
    </row>
    <row r="31" customFormat="false" ht="27.75" hidden="false" customHeight="true" outlineLevel="0" collapsed="false">
      <c r="A31" s="7" t="s">
        <v>44</v>
      </c>
      <c r="B31" s="8" t="s">
        <v>45</v>
      </c>
    </row>
    <row r="32" customFormat="false" ht="27.75" hidden="false" customHeight="true" outlineLevel="0" collapsed="false">
      <c r="A32" s="7" t="s">
        <v>46</v>
      </c>
      <c r="B32" s="8" t="s">
        <v>47</v>
      </c>
    </row>
    <row r="33" customFormat="false" ht="27.75" hidden="false" customHeight="true" outlineLevel="0" collapsed="false">
      <c r="A33" s="7" t="s">
        <v>12</v>
      </c>
      <c r="B33" s="8" t="s">
        <v>48</v>
      </c>
    </row>
    <row r="34" customFormat="false" ht="27.75" hidden="false" customHeight="true" outlineLevel="0" collapsed="false">
      <c r="A34" s="7" t="s">
        <v>49</v>
      </c>
      <c r="B34" s="8" t="s">
        <v>50</v>
      </c>
    </row>
    <row r="35" customFormat="false" ht="27.75" hidden="false" customHeight="true" outlineLevel="0" collapsed="false">
      <c r="A35" s="7" t="s">
        <v>51</v>
      </c>
      <c r="B35" s="8" t="s">
        <v>52</v>
      </c>
    </row>
    <row r="36" customFormat="false" ht="27.75" hidden="false" customHeight="true" outlineLevel="0" collapsed="false">
      <c r="A36" s="7" t="s">
        <v>53</v>
      </c>
      <c r="B36" s="8" t="s">
        <v>54</v>
      </c>
    </row>
    <row r="37" customFormat="false" ht="27.75" hidden="false" customHeight="true" outlineLevel="0" collapsed="false">
      <c r="A37" s="7" t="s">
        <v>55</v>
      </c>
      <c r="B37" s="8" t="s">
        <v>56</v>
      </c>
    </row>
  </sheetData>
  <mergeCells count="6">
    <mergeCell ref="A4:B4"/>
    <mergeCell ref="A5:B5"/>
    <mergeCell ref="A6:B6"/>
    <mergeCell ref="A8:B8"/>
    <mergeCell ref="A20:B20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6" min="5" style="0" width="12"/>
    <col collapsed="false" customWidth="true" hidden="false" outlineLevel="0" max="8" min="7" style="0" width="32"/>
    <col collapsed="false" customWidth="true" hidden="false" outlineLevel="0" max="9" min="9" style="0" width="36"/>
  </cols>
  <sheetData>
    <row r="1" customFormat="false" ht="24" hidden="false" customHeight="true" outlineLevel="0" collapsed="false">
      <c r="A1" s="10" t="s">
        <v>57</v>
      </c>
      <c r="B1" s="10"/>
      <c r="C1" s="10"/>
      <c r="D1" s="10"/>
      <c r="E1" s="10"/>
      <c r="F1" s="10"/>
      <c r="G1" s="10"/>
      <c r="H1" s="10"/>
      <c r="I1" s="10"/>
    </row>
    <row r="2" customFormat="false" ht="21.75" hidden="false" customHeight="true" outlineLevel="0" collapsed="false">
      <c r="A2" s="11" t="s">
        <v>58</v>
      </c>
      <c r="B2" s="11"/>
      <c r="C2" s="11"/>
      <c r="D2" s="11"/>
      <c r="E2" s="11"/>
      <c r="F2" s="11"/>
      <c r="G2" s="11"/>
      <c r="H2" s="11"/>
      <c r="I2" s="11"/>
    </row>
    <row r="4" customFormat="false" ht="36" hidden="false" customHeight="true" outlineLevel="0" collapsed="false">
      <c r="A4" s="12" t="s">
        <v>59</v>
      </c>
      <c r="B4" s="12" t="s">
        <v>60</v>
      </c>
      <c r="C4" s="12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2" t="s">
        <v>66</v>
      </c>
      <c r="I4" s="12" t="s">
        <v>67</v>
      </c>
    </row>
    <row r="5" customFormat="false" ht="90" hidden="false" customHeight="true" outlineLevel="0" collapsed="false">
      <c r="A5" s="13" t="s">
        <v>68</v>
      </c>
      <c r="B5" s="14" t="s">
        <v>69</v>
      </c>
      <c r="C5" s="15" t="s">
        <v>70</v>
      </c>
      <c r="D5" s="16" t="s">
        <v>71</v>
      </c>
      <c r="E5" s="16" t="n">
        <v>1</v>
      </c>
      <c r="F5" s="16" t="n">
        <v>0</v>
      </c>
      <c r="G5" s="16" t="s">
        <v>72</v>
      </c>
      <c r="H5" s="16" t="s">
        <v>73</v>
      </c>
      <c r="I5" s="16" t="s">
        <v>74</v>
      </c>
    </row>
    <row r="6" customFormat="false" ht="90" hidden="false" customHeight="true" outlineLevel="0" collapsed="false">
      <c r="A6" s="13" t="s">
        <v>75</v>
      </c>
      <c r="B6" s="14" t="s">
        <v>69</v>
      </c>
      <c r="C6" s="17" t="s">
        <v>76</v>
      </c>
      <c r="D6" s="18" t="s">
        <v>77</v>
      </c>
      <c r="E6" s="18" t="n">
        <v>10</v>
      </c>
      <c r="F6" s="18" t="n">
        <v>400</v>
      </c>
      <c r="G6" s="18" t="s">
        <v>78</v>
      </c>
      <c r="H6" s="18" t="s">
        <v>79</v>
      </c>
      <c r="I6" s="18" t="s">
        <v>80</v>
      </c>
    </row>
    <row r="7" customFormat="false" ht="90" hidden="false" customHeight="true" outlineLevel="0" collapsed="false">
      <c r="A7" s="13" t="s">
        <v>81</v>
      </c>
      <c r="B7" s="14" t="s">
        <v>69</v>
      </c>
      <c r="C7" s="15" t="s">
        <v>82</v>
      </c>
      <c r="D7" s="16" t="s">
        <v>83</v>
      </c>
      <c r="E7" s="16" t="n">
        <v>8</v>
      </c>
      <c r="F7" s="16" t="n">
        <v>600</v>
      </c>
      <c r="G7" s="16" t="s">
        <v>84</v>
      </c>
      <c r="H7" s="16" t="s">
        <v>85</v>
      </c>
      <c r="I7" s="16" t="s">
        <v>86</v>
      </c>
    </row>
    <row r="8" customFormat="false" ht="90" hidden="false" customHeight="true" outlineLevel="0" collapsed="false">
      <c r="A8" s="19" t="s">
        <v>87</v>
      </c>
      <c r="B8" s="20" t="s">
        <v>88</v>
      </c>
      <c r="C8" s="17" t="s">
        <v>89</v>
      </c>
      <c r="D8" s="18" t="s">
        <v>90</v>
      </c>
      <c r="E8" s="18" t="n">
        <v>12</v>
      </c>
      <c r="F8" s="18" t="n">
        <v>1500</v>
      </c>
      <c r="G8" s="18" t="s">
        <v>91</v>
      </c>
      <c r="H8" s="18" t="s">
        <v>92</v>
      </c>
      <c r="I8" s="18" t="s">
        <v>93</v>
      </c>
    </row>
    <row r="9" customFormat="false" ht="90" hidden="false" customHeight="true" outlineLevel="0" collapsed="false">
      <c r="A9" s="19" t="s">
        <v>94</v>
      </c>
      <c r="B9" s="20" t="s">
        <v>88</v>
      </c>
      <c r="C9" s="15" t="s">
        <v>95</v>
      </c>
      <c r="D9" s="16" t="s">
        <v>96</v>
      </c>
      <c r="E9" s="16" t="n">
        <v>14</v>
      </c>
      <c r="F9" s="16" t="n">
        <v>4000</v>
      </c>
      <c r="G9" s="16" t="s">
        <v>97</v>
      </c>
      <c r="H9" s="16" t="s">
        <v>98</v>
      </c>
      <c r="I9" s="16" t="s">
        <v>99</v>
      </c>
    </row>
    <row r="10" customFormat="false" ht="90" hidden="false" customHeight="true" outlineLevel="0" collapsed="false">
      <c r="A10" s="19" t="s">
        <v>100</v>
      </c>
      <c r="B10" s="20" t="s">
        <v>88</v>
      </c>
      <c r="C10" s="17" t="s">
        <v>101</v>
      </c>
      <c r="D10" s="18" t="s">
        <v>102</v>
      </c>
      <c r="E10" s="18" t="s">
        <v>103</v>
      </c>
      <c r="F10" s="18" t="n">
        <v>12000</v>
      </c>
      <c r="G10" s="18" t="s">
        <v>104</v>
      </c>
      <c r="H10" s="18" t="s">
        <v>105</v>
      </c>
      <c r="I10" s="18" t="s">
        <v>106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8"/>
    <col collapsed="false" customWidth="true" hidden="false" outlineLevel="0" max="11" min="11" style="0" width="10"/>
  </cols>
  <sheetData>
    <row r="1" customFormat="false" ht="24" hidden="false" customHeight="true" outlineLevel="0" collapsed="false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21.75" hidden="false" customHeight="true" outlineLevel="0" collapsed="false">
      <c r="A2" s="11" t="s">
        <v>108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customFormat="false" ht="37.5" hidden="false" customHeight="true" outlineLevel="0" collapsed="false">
      <c r="A4" s="12" t="s">
        <v>109</v>
      </c>
      <c r="B4" s="12" t="s">
        <v>59</v>
      </c>
      <c r="C4" s="12" t="s">
        <v>61</v>
      </c>
      <c r="D4" s="12" t="s">
        <v>110</v>
      </c>
      <c r="E4" s="12" t="s">
        <v>111</v>
      </c>
      <c r="F4" s="12" t="s">
        <v>112</v>
      </c>
      <c r="G4" s="12" t="s">
        <v>113</v>
      </c>
      <c r="H4" s="12" t="s">
        <v>114</v>
      </c>
      <c r="I4" s="12" t="s">
        <v>115</v>
      </c>
      <c r="J4" s="12" t="s">
        <v>116</v>
      </c>
      <c r="K4" s="12" t="s">
        <v>117</v>
      </c>
    </row>
    <row r="5" customFormat="false" ht="55.5" hidden="false" customHeight="true" outlineLevel="0" collapsed="false">
      <c r="A5" s="21" t="s">
        <v>118</v>
      </c>
      <c r="B5" s="22" t="s">
        <v>68</v>
      </c>
      <c r="C5" s="23" t="s">
        <v>119</v>
      </c>
      <c r="D5" s="24" t="s">
        <v>120</v>
      </c>
      <c r="E5" s="25" t="s">
        <v>121</v>
      </c>
      <c r="F5" s="24" t="n">
        <v>2</v>
      </c>
      <c r="G5" s="24" t="n">
        <v>0</v>
      </c>
      <c r="H5" s="23" t="n">
        <f aca="false">F5+G5</f>
        <v>2</v>
      </c>
      <c r="I5" s="24"/>
      <c r="J5" s="24" t="s">
        <v>122</v>
      </c>
      <c r="K5" s="24" t="s">
        <v>123</v>
      </c>
    </row>
    <row r="6" customFormat="false" ht="55.5" hidden="false" customHeight="true" outlineLevel="0" collapsed="false">
      <c r="A6" s="26" t="s">
        <v>124</v>
      </c>
      <c r="B6" s="27" t="s">
        <v>68</v>
      </c>
      <c r="C6" s="28" t="s">
        <v>125</v>
      </c>
      <c r="D6" s="29" t="s">
        <v>126</v>
      </c>
      <c r="E6" s="30" t="s">
        <v>121</v>
      </c>
      <c r="F6" s="29" t="n">
        <v>3</v>
      </c>
      <c r="G6" s="29" t="n">
        <v>0</v>
      </c>
      <c r="H6" s="28" t="n">
        <f aca="false">F6+G6</f>
        <v>3</v>
      </c>
      <c r="I6" s="29" t="s">
        <v>118</v>
      </c>
      <c r="J6" s="29" t="s">
        <v>127</v>
      </c>
      <c r="K6" s="29" t="s">
        <v>123</v>
      </c>
    </row>
    <row r="7" customFormat="false" ht="55.5" hidden="false" customHeight="true" outlineLevel="0" collapsed="false">
      <c r="A7" s="21" t="s">
        <v>128</v>
      </c>
      <c r="B7" s="22" t="s">
        <v>68</v>
      </c>
      <c r="C7" s="23" t="s">
        <v>129</v>
      </c>
      <c r="D7" s="24" t="s">
        <v>130</v>
      </c>
      <c r="E7" s="25" t="s">
        <v>121</v>
      </c>
      <c r="F7" s="24" t="n">
        <v>2</v>
      </c>
      <c r="G7" s="24" t="n">
        <v>0</v>
      </c>
      <c r="H7" s="23" t="n">
        <f aca="false">F7+G7</f>
        <v>2</v>
      </c>
      <c r="I7" s="24" t="s">
        <v>124</v>
      </c>
      <c r="J7" s="24" t="s">
        <v>131</v>
      </c>
      <c r="K7" s="24" t="s">
        <v>123</v>
      </c>
    </row>
    <row r="8" customFormat="false" ht="55.5" hidden="false" customHeight="true" outlineLevel="0" collapsed="false">
      <c r="A8" s="26" t="s">
        <v>132</v>
      </c>
      <c r="B8" s="27" t="s">
        <v>75</v>
      </c>
      <c r="C8" s="28" t="s">
        <v>133</v>
      </c>
      <c r="D8" s="29" t="s">
        <v>134</v>
      </c>
      <c r="E8" s="30" t="s">
        <v>121</v>
      </c>
      <c r="F8" s="29" t="n">
        <v>6</v>
      </c>
      <c r="G8" s="29" t="n">
        <v>0</v>
      </c>
      <c r="H8" s="28" t="n">
        <f aca="false">F8+G8</f>
        <v>6</v>
      </c>
      <c r="I8" s="29" t="s">
        <v>128</v>
      </c>
      <c r="J8" s="29" t="s">
        <v>135</v>
      </c>
      <c r="K8" s="29" t="s">
        <v>123</v>
      </c>
    </row>
    <row r="9" customFormat="false" ht="55.5" hidden="false" customHeight="true" outlineLevel="0" collapsed="false">
      <c r="A9" s="21" t="s">
        <v>136</v>
      </c>
      <c r="B9" s="22" t="s">
        <v>75</v>
      </c>
      <c r="C9" s="23" t="s">
        <v>137</v>
      </c>
      <c r="D9" s="24" t="s">
        <v>138</v>
      </c>
      <c r="E9" s="25" t="s">
        <v>121</v>
      </c>
      <c r="F9" s="24" t="n">
        <v>4</v>
      </c>
      <c r="G9" s="24" t="n">
        <v>16</v>
      </c>
      <c r="H9" s="23" t="n">
        <f aca="false">F9+G9</f>
        <v>20</v>
      </c>
      <c r="I9" s="24" t="s">
        <v>132</v>
      </c>
      <c r="J9" s="24" t="s">
        <v>139</v>
      </c>
      <c r="K9" s="24" t="s">
        <v>123</v>
      </c>
    </row>
    <row r="10" customFormat="false" ht="55.5" hidden="false" customHeight="true" outlineLevel="0" collapsed="false">
      <c r="A10" s="26" t="s">
        <v>140</v>
      </c>
      <c r="B10" s="27" t="s">
        <v>75</v>
      </c>
      <c r="C10" s="28" t="s">
        <v>141</v>
      </c>
      <c r="D10" s="29" t="s">
        <v>142</v>
      </c>
      <c r="E10" s="30" t="s">
        <v>121</v>
      </c>
      <c r="F10" s="29" t="n">
        <v>4</v>
      </c>
      <c r="G10" s="29" t="n">
        <v>8</v>
      </c>
      <c r="H10" s="28" t="n">
        <f aca="false">F10+G10</f>
        <v>12</v>
      </c>
      <c r="I10" s="29" t="s">
        <v>132</v>
      </c>
      <c r="J10" s="29" t="s">
        <v>143</v>
      </c>
      <c r="K10" s="29" t="s">
        <v>123</v>
      </c>
    </row>
    <row r="11" customFormat="false" ht="55.5" hidden="false" customHeight="true" outlineLevel="0" collapsed="false">
      <c r="A11" s="21" t="s">
        <v>144</v>
      </c>
      <c r="B11" s="22" t="s">
        <v>75</v>
      </c>
      <c r="C11" s="23" t="s">
        <v>145</v>
      </c>
      <c r="D11" s="24" t="s">
        <v>146</v>
      </c>
      <c r="E11" s="25" t="s">
        <v>121</v>
      </c>
      <c r="F11" s="24" t="n">
        <v>0</v>
      </c>
      <c r="G11" s="24" t="n">
        <v>16</v>
      </c>
      <c r="H11" s="23" t="n">
        <f aca="false">F11+G11</f>
        <v>16</v>
      </c>
      <c r="I11" s="24" t="s">
        <v>136</v>
      </c>
      <c r="J11" s="24" t="s">
        <v>147</v>
      </c>
      <c r="K11" s="24" t="s">
        <v>123</v>
      </c>
    </row>
    <row r="12" customFormat="false" ht="55.5" hidden="false" customHeight="true" outlineLevel="0" collapsed="false">
      <c r="A12" s="26" t="s">
        <v>148</v>
      </c>
      <c r="B12" s="27" t="s">
        <v>75</v>
      </c>
      <c r="C12" s="28" t="s">
        <v>149</v>
      </c>
      <c r="D12" s="29" t="s">
        <v>150</v>
      </c>
      <c r="E12" s="30" t="s">
        <v>121</v>
      </c>
      <c r="F12" s="29" t="n">
        <v>10</v>
      </c>
      <c r="G12" s="29" t="n">
        <v>6</v>
      </c>
      <c r="H12" s="28" t="n">
        <f aca="false">F12+G12</f>
        <v>16</v>
      </c>
      <c r="I12" s="29"/>
      <c r="J12" s="29" t="s">
        <v>151</v>
      </c>
      <c r="K12" s="29" t="s">
        <v>123</v>
      </c>
    </row>
    <row r="13" customFormat="false" ht="55.5" hidden="false" customHeight="true" outlineLevel="0" collapsed="false">
      <c r="A13" s="21" t="s">
        <v>152</v>
      </c>
      <c r="B13" s="22" t="s">
        <v>75</v>
      </c>
      <c r="C13" s="23" t="s">
        <v>153</v>
      </c>
      <c r="D13" s="24" t="s">
        <v>154</v>
      </c>
      <c r="E13" s="25" t="s">
        <v>121</v>
      </c>
      <c r="F13" s="24" t="n">
        <v>8</v>
      </c>
      <c r="G13" s="24" t="n">
        <v>6</v>
      </c>
      <c r="H13" s="23" t="n">
        <f aca="false">F13+G13</f>
        <v>14</v>
      </c>
      <c r="I13" s="24" t="s">
        <v>144</v>
      </c>
      <c r="J13" s="24" t="s">
        <v>155</v>
      </c>
      <c r="K13" s="24" t="s">
        <v>123</v>
      </c>
    </row>
    <row r="14" customFormat="false" ht="55.5" hidden="false" customHeight="true" outlineLevel="0" collapsed="false">
      <c r="A14" s="26" t="s">
        <v>156</v>
      </c>
      <c r="B14" s="27" t="s">
        <v>75</v>
      </c>
      <c r="C14" s="28" t="s">
        <v>157</v>
      </c>
      <c r="D14" s="29" t="s">
        <v>158</v>
      </c>
      <c r="E14" s="30" t="s">
        <v>121</v>
      </c>
      <c r="F14" s="29" t="n">
        <v>12</v>
      </c>
      <c r="G14" s="29" t="n">
        <v>4</v>
      </c>
      <c r="H14" s="28" t="n">
        <f aca="false">F14+G14</f>
        <v>16</v>
      </c>
      <c r="I14" s="29" t="s">
        <v>159</v>
      </c>
      <c r="J14" s="29" t="s">
        <v>160</v>
      </c>
      <c r="K14" s="29" t="s">
        <v>123</v>
      </c>
    </row>
    <row r="15" customFormat="false" ht="55.5" hidden="false" customHeight="true" outlineLevel="0" collapsed="false">
      <c r="A15" s="21" t="s">
        <v>161</v>
      </c>
      <c r="B15" s="22" t="s">
        <v>75</v>
      </c>
      <c r="C15" s="23" t="s">
        <v>162</v>
      </c>
      <c r="D15" s="24" t="s">
        <v>163</v>
      </c>
      <c r="E15" s="25" t="s">
        <v>121</v>
      </c>
      <c r="F15" s="24" t="n">
        <v>14</v>
      </c>
      <c r="G15" s="24" t="n">
        <v>8</v>
      </c>
      <c r="H15" s="23" t="n">
        <f aca="false">F15+G15</f>
        <v>22</v>
      </c>
      <c r="I15" s="24" t="s">
        <v>156</v>
      </c>
      <c r="J15" s="24" t="s">
        <v>164</v>
      </c>
      <c r="K15" s="24" t="s">
        <v>123</v>
      </c>
    </row>
    <row r="16" customFormat="false" ht="55.5" hidden="false" customHeight="true" outlineLevel="0" collapsed="false">
      <c r="A16" s="26" t="s">
        <v>165</v>
      </c>
      <c r="B16" s="27" t="s">
        <v>75</v>
      </c>
      <c r="C16" s="28" t="s">
        <v>166</v>
      </c>
      <c r="D16" s="29" t="s">
        <v>167</v>
      </c>
      <c r="E16" s="30" t="s">
        <v>121</v>
      </c>
      <c r="F16" s="29" t="n">
        <v>20</v>
      </c>
      <c r="G16" s="29" t="n">
        <v>8</v>
      </c>
      <c r="H16" s="28" t="n">
        <f aca="false">F16+G16</f>
        <v>28</v>
      </c>
      <c r="I16" s="29" t="s">
        <v>161</v>
      </c>
      <c r="J16" s="29" t="s">
        <v>168</v>
      </c>
      <c r="K16" s="29" t="s">
        <v>123</v>
      </c>
    </row>
    <row r="17" customFormat="false" ht="55.5" hidden="false" customHeight="true" outlineLevel="0" collapsed="false">
      <c r="A17" s="21" t="s">
        <v>169</v>
      </c>
      <c r="B17" s="22" t="s">
        <v>81</v>
      </c>
      <c r="C17" s="23" t="s">
        <v>170</v>
      </c>
      <c r="D17" s="24" t="s">
        <v>171</v>
      </c>
      <c r="E17" s="25" t="s">
        <v>121</v>
      </c>
      <c r="F17" s="24" t="n">
        <v>8</v>
      </c>
      <c r="G17" s="24" t="n">
        <v>16</v>
      </c>
      <c r="H17" s="23" t="n">
        <f aca="false">F17+G17</f>
        <v>24</v>
      </c>
      <c r="I17" s="24"/>
      <c r="J17" s="24" t="s">
        <v>172</v>
      </c>
      <c r="K17" s="24" t="s">
        <v>123</v>
      </c>
    </row>
    <row r="18" customFormat="false" ht="55.5" hidden="false" customHeight="true" outlineLevel="0" collapsed="false">
      <c r="A18" s="26" t="s">
        <v>173</v>
      </c>
      <c r="B18" s="27" t="s">
        <v>81</v>
      </c>
      <c r="C18" s="28" t="s">
        <v>174</v>
      </c>
      <c r="D18" s="29" t="s">
        <v>175</v>
      </c>
      <c r="E18" s="30" t="s">
        <v>121</v>
      </c>
      <c r="F18" s="29" t="n">
        <v>12</v>
      </c>
      <c r="G18" s="29" t="n">
        <v>14</v>
      </c>
      <c r="H18" s="28" t="n">
        <f aca="false">F18+G18</f>
        <v>26</v>
      </c>
      <c r="I18" s="29" t="s">
        <v>169</v>
      </c>
      <c r="J18" s="29" t="s">
        <v>176</v>
      </c>
      <c r="K18" s="29" t="s">
        <v>123</v>
      </c>
    </row>
    <row r="19" customFormat="false" ht="55.5" hidden="false" customHeight="true" outlineLevel="0" collapsed="false">
      <c r="A19" s="21" t="s">
        <v>177</v>
      </c>
      <c r="B19" s="22" t="s">
        <v>81</v>
      </c>
      <c r="C19" s="23" t="s">
        <v>178</v>
      </c>
      <c r="D19" s="24" t="s">
        <v>179</v>
      </c>
      <c r="E19" s="25" t="s">
        <v>121</v>
      </c>
      <c r="F19" s="24" t="n">
        <v>24</v>
      </c>
      <c r="G19" s="24" t="n">
        <v>8</v>
      </c>
      <c r="H19" s="23" t="n">
        <f aca="false">F19+G19</f>
        <v>32</v>
      </c>
      <c r="I19" s="24"/>
      <c r="J19" s="24" t="s">
        <v>180</v>
      </c>
      <c r="K19" s="24" t="s">
        <v>123</v>
      </c>
    </row>
    <row r="20" customFormat="false" ht="55.5" hidden="false" customHeight="true" outlineLevel="0" collapsed="false">
      <c r="A20" s="26" t="s">
        <v>181</v>
      </c>
      <c r="B20" s="27" t="s">
        <v>81</v>
      </c>
      <c r="C20" s="28" t="s">
        <v>182</v>
      </c>
      <c r="D20" s="29" t="s">
        <v>183</v>
      </c>
      <c r="E20" s="30" t="s">
        <v>121</v>
      </c>
      <c r="F20" s="29" t="n">
        <v>8</v>
      </c>
      <c r="G20" s="29" t="n">
        <v>12</v>
      </c>
      <c r="H20" s="28" t="n">
        <f aca="false">F20+G20</f>
        <v>20</v>
      </c>
      <c r="I20" s="29" t="s">
        <v>177</v>
      </c>
      <c r="J20" s="29" t="s">
        <v>184</v>
      </c>
      <c r="K20" s="29" t="s">
        <v>123</v>
      </c>
    </row>
    <row r="21" customFormat="false" ht="55.5" hidden="false" customHeight="true" outlineLevel="0" collapsed="false">
      <c r="A21" s="21" t="s">
        <v>185</v>
      </c>
      <c r="B21" s="22" t="s">
        <v>81</v>
      </c>
      <c r="C21" s="23" t="s">
        <v>186</v>
      </c>
      <c r="D21" s="24" t="s">
        <v>187</v>
      </c>
      <c r="E21" s="25" t="s">
        <v>121</v>
      </c>
      <c r="F21" s="24" t="n">
        <v>10</v>
      </c>
      <c r="G21" s="24" t="n">
        <v>10</v>
      </c>
      <c r="H21" s="23" t="n">
        <f aca="false">F21+G21</f>
        <v>20</v>
      </c>
      <c r="I21" s="24"/>
      <c r="J21" s="24" t="s">
        <v>188</v>
      </c>
      <c r="K21" s="24" t="s">
        <v>123</v>
      </c>
    </row>
    <row r="22" customFormat="false" ht="55.5" hidden="false" customHeight="true" outlineLevel="0" collapsed="false">
      <c r="A22" s="26" t="s">
        <v>189</v>
      </c>
      <c r="B22" s="27" t="s">
        <v>81</v>
      </c>
      <c r="C22" s="28" t="s">
        <v>190</v>
      </c>
      <c r="D22" s="29" t="s">
        <v>191</v>
      </c>
      <c r="E22" s="31" t="s">
        <v>192</v>
      </c>
      <c r="F22" s="29" t="n">
        <v>10</v>
      </c>
      <c r="G22" s="29" t="n">
        <v>12</v>
      </c>
      <c r="H22" s="28" t="n">
        <f aca="false">F22+G22</f>
        <v>22</v>
      </c>
      <c r="I22" s="29"/>
      <c r="J22" s="29" t="s">
        <v>193</v>
      </c>
      <c r="K22" s="29" t="s">
        <v>123</v>
      </c>
    </row>
    <row r="23" customFormat="false" ht="55.5" hidden="false" customHeight="true" outlineLevel="0" collapsed="false">
      <c r="A23" s="21" t="s">
        <v>194</v>
      </c>
      <c r="B23" s="22" t="s">
        <v>81</v>
      </c>
      <c r="C23" s="23" t="s">
        <v>195</v>
      </c>
      <c r="D23" s="24" t="s">
        <v>196</v>
      </c>
      <c r="E23" s="25" t="s">
        <v>121</v>
      </c>
      <c r="F23" s="24" t="n">
        <v>4</v>
      </c>
      <c r="G23" s="24" t="n">
        <v>0</v>
      </c>
      <c r="H23" s="23" t="n">
        <f aca="false">F23+G23</f>
        <v>4</v>
      </c>
      <c r="I23" s="24" t="s">
        <v>197</v>
      </c>
      <c r="J23" s="24" t="s">
        <v>198</v>
      </c>
      <c r="K23" s="24" t="s">
        <v>123</v>
      </c>
    </row>
    <row r="24" customFormat="false" ht="55.5" hidden="false" customHeight="true" outlineLevel="0" collapsed="false">
      <c r="A24" s="26" t="s">
        <v>199</v>
      </c>
      <c r="B24" s="32" t="s">
        <v>87</v>
      </c>
      <c r="C24" s="28" t="s">
        <v>200</v>
      </c>
      <c r="D24" s="29" t="s">
        <v>201</v>
      </c>
      <c r="E24" s="30" t="s">
        <v>121</v>
      </c>
      <c r="F24" s="29" t="n">
        <v>8</v>
      </c>
      <c r="G24" s="29" t="n">
        <v>32</v>
      </c>
      <c r="H24" s="28" t="n">
        <f aca="false">F24+G24</f>
        <v>40</v>
      </c>
      <c r="I24" s="29"/>
      <c r="J24" s="29" t="s">
        <v>202</v>
      </c>
      <c r="K24" s="29" t="s">
        <v>123</v>
      </c>
    </row>
    <row r="25" customFormat="false" ht="55.5" hidden="false" customHeight="true" outlineLevel="0" collapsed="false">
      <c r="A25" s="21" t="s">
        <v>203</v>
      </c>
      <c r="B25" s="33" t="s">
        <v>87</v>
      </c>
      <c r="C25" s="23" t="s">
        <v>204</v>
      </c>
      <c r="D25" s="24" t="s">
        <v>205</v>
      </c>
      <c r="E25" s="25" t="s">
        <v>121</v>
      </c>
      <c r="F25" s="24" t="n">
        <v>24</v>
      </c>
      <c r="G25" s="24" t="n">
        <v>12</v>
      </c>
      <c r="H25" s="23" t="n">
        <f aca="false">F25+G25</f>
        <v>36</v>
      </c>
      <c r="I25" s="24" t="s">
        <v>199</v>
      </c>
      <c r="J25" s="24" t="s">
        <v>206</v>
      </c>
      <c r="K25" s="24" t="s">
        <v>123</v>
      </c>
    </row>
    <row r="26" customFormat="false" ht="55.5" hidden="false" customHeight="true" outlineLevel="0" collapsed="false">
      <c r="A26" s="26" t="s">
        <v>207</v>
      </c>
      <c r="B26" s="32" t="s">
        <v>87</v>
      </c>
      <c r="C26" s="28" t="s">
        <v>208</v>
      </c>
      <c r="D26" s="29" t="s">
        <v>209</v>
      </c>
      <c r="E26" s="30" t="s">
        <v>121</v>
      </c>
      <c r="F26" s="29" t="n">
        <v>16</v>
      </c>
      <c r="G26" s="29" t="n">
        <v>12</v>
      </c>
      <c r="H26" s="28" t="n">
        <f aca="false">F26+G26</f>
        <v>28</v>
      </c>
      <c r="I26" s="29" t="s">
        <v>199</v>
      </c>
      <c r="J26" s="29" t="s">
        <v>210</v>
      </c>
      <c r="K26" s="29" t="s">
        <v>123</v>
      </c>
    </row>
    <row r="27" customFormat="false" ht="55.5" hidden="false" customHeight="true" outlineLevel="0" collapsed="false">
      <c r="A27" s="21" t="s">
        <v>211</v>
      </c>
      <c r="B27" s="33" t="s">
        <v>87</v>
      </c>
      <c r="C27" s="23" t="s">
        <v>212</v>
      </c>
      <c r="D27" s="24" t="s">
        <v>213</v>
      </c>
      <c r="E27" s="25" t="s">
        <v>121</v>
      </c>
      <c r="F27" s="24" t="n">
        <v>8</v>
      </c>
      <c r="G27" s="24" t="n">
        <v>0</v>
      </c>
      <c r="H27" s="23" t="n">
        <f aca="false">F27+G27</f>
        <v>8</v>
      </c>
      <c r="I27" s="24"/>
      <c r="J27" s="24" t="s">
        <v>214</v>
      </c>
      <c r="K27" s="24" t="s">
        <v>123</v>
      </c>
    </row>
    <row r="28" customFormat="false" ht="55.5" hidden="false" customHeight="true" outlineLevel="0" collapsed="false">
      <c r="A28" s="26" t="s">
        <v>215</v>
      </c>
      <c r="B28" s="32" t="s">
        <v>87</v>
      </c>
      <c r="C28" s="28" t="s">
        <v>216</v>
      </c>
      <c r="D28" s="29" t="s">
        <v>217</v>
      </c>
      <c r="E28" s="30" t="s">
        <v>121</v>
      </c>
      <c r="F28" s="29" t="n">
        <v>20</v>
      </c>
      <c r="G28" s="29" t="n">
        <v>4</v>
      </c>
      <c r="H28" s="28" t="n">
        <f aca="false">F28+G28</f>
        <v>24</v>
      </c>
      <c r="I28" s="29" t="s">
        <v>218</v>
      </c>
      <c r="J28" s="29" t="s">
        <v>219</v>
      </c>
      <c r="K28" s="29" t="s">
        <v>123</v>
      </c>
    </row>
    <row r="29" customFormat="false" ht="55.5" hidden="false" customHeight="true" outlineLevel="0" collapsed="false">
      <c r="A29" s="21" t="s">
        <v>220</v>
      </c>
      <c r="B29" s="33" t="s">
        <v>87</v>
      </c>
      <c r="C29" s="23" t="s">
        <v>221</v>
      </c>
      <c r="D29" s="24" t="s">
        <v>222</v>
      </c>
      <c r="E29" s="25" t="s">
        <v>121</v>
      </c>
      <c r="F29" s="24" t="n">
        <v>40</v>
      </c>
      <c r="G29" s="24" t="n">
        <v>16</v>
      </c>
      <c r="H29" s="23" t="n">
        <f aca="false">F29+G29</f>
        <v>56</v>
      </c>
      <c r="I29" s="24" t="s">
        <v>215</v>
      </c>
      <c r="J29" s="24" t="s">
        <v>223</v>
      </c>
      <c r="K29" s="24" t="s">
        <v>123</v>
      </c>
    </row>
    <row r="30" customFormat="false" ht="55.5" hidden="false" customHeight="true" outlineLevel="0" collapsed="false">
      <c r="A30" s="26" t="s">
        <v>224</v>
      </c>
      <c r="B30" s="32" t="s">
        <v>87</v>
      </c>
      <c r="C30" s="28" t="s">
        <v>225</v>
      </c>
      <c r="D30" s="29" t="s">
        <v>226</v>
      </c>
      <c r="E30" s="30" t="s">
        <v>121</v>
      </c>
      <c r="F30" s="29" t="n">
        <v>6</v>
      </c>
      <c r="G30" s="29" t="n">
        <v>0</v>
      </c>
      <c r="H30" s="28" t="n">
        <f aca="false">F30+G30</f>
        <v>6</v>
      </c>
      <c r="I30" s="29" t="s">
        <v>220</v>
      </c>
      <c r="J30" s="29" t="s">
        <v>227</v>
      </c>
      <c r="K30" s="29" t="s">
        <v>123</v>
      </c>
    </row>
    <row r="31" customFormat="false" ht="55.5" hidden="false" customHeight="true" outlineLevel="0" collapsed="false">
      <c r="A31" s="21" t="s">
        <v>228</v>
      </c>
      <c r="B31" s="33" t="s">
        <v>94</v>
      </c>
      <c r="C31" s="23" t="s">
        <v>229</v>
      </c>
      <c r="D31" s="24" t="s">
        <v>230</v>
      </c>
      <c r="E31" s="25" t="s">
        <v>121</v>
      </c>
      <c r="F31" s="24" t="n">
        <v>60</v>
      </c>
      <c r="G31" s="24" t="n">
        <v>20</v>
      </c>
      <c r="H31" s="23" t="n">
        <f aca="false">F31+G31</f>
        <v>80</v>
      </c>
      <c r="I31" s="24"/>
      <c r="J31" s="24" t="s">
        <v>231</v>
      </c>
      <c r="K31" s="24" t="s">
        <v>123</v>
      </c>
    </row>
    <row r="32" customFormat="false" ht="55.5" hidden="false" customHeight="true" outlineLevel="0" collapsed="false">
      <c r="A32" s="26" t="s">
        <v>232</v>
      </c>
      <c r="B32" s="32" t="s">
        <v>94</v>
      </c>
      <c r="C32" s="28" t="s">
        <v>233</v>
      </c>
      <c r="D32" s="29" t="s">
        <v>234</v>
      </c>
      <c r="E32" s="30" t="s">
        <v>121</v>
      </c>
      <c r="F32" s="29" t="n">
        <v>20</v>
      </c>
      <c r="G32" s="29" t="n">
        <v>28</v>
      </c>
      <c r="H32" s="28" t="n">
        <f aca="false">F32+G32</f>
        <v>48</v>
      </c>
      <c r="I32" s="29"/>
      <c r="J32" s="29" t="s">
        <v>235</v>
      </c>
      <c r="K32" s="29" t="s">
        <v>123</v>
      </c>
    </row>
    <row r="33" customFormat="false" ht="55.5" hidden="false" customHeight="true" outlineLevel="0" collapsed="false">
      <c r="A33" s="21" t="s">
        <v>236</v>
      </c>
      <c r="B33" s="33" t="s">
        <v>94</v>
      </c>
      <c r="C33" s="23" t="s">
        <v>237</v>
      </c>
      <c r="D33" s="24" t="s">
        <v>238</v>
      </c>
      <c r="E33" s="25" t="s">
        <v>121</v>
      </c>
      <c r="F33" s="24" t="n">
        <v>32</v>
      </c>
      <c r="G33" s="24" t="n">
        <v>12</v>
      </c>
      <c r="H33" s="23" t="n">
        <f aca="false">F33+G33</f>
        <v>44</v>
      </c>
      <c r="I33" s="24" t="s">
        <v>239</v>
      </c>
      <c r="J33" s="24" t="s">
        <v>240</v>
      </c>
      <c r="K33" s="24" t="s">
        <v>123</v>
      </c>
    </row>
    <row r="34" customFormat="false" ht="55.5" hidden="false" customHeight="true" outlineLevel="0" collapsed="false">
      <c r="A34" s="26" t="s">
        <v>241</v>
      </c>
      <c r="B34" s="32" t="s">
        <v>94</v>
      </c>
      <c r="C34" s="28" t="s">
        <v>242</v>
      </c>
      <c r="D34" s="29" t="s">
        <v>243</v>
      </c>
      <c r="E34" s="30" t="s">
        <v>121</v>
      </c>
      <c r="F34" s="29" t="n">
        <v>16</v>
      </c>
      <c r="G34" s="29" t="n">
        <v>0</v>
      </c>
      <c r="H34" s="28" t="n">
        <f aca="false">F34+G34</f>
        <v>16</v>
      </c>
      <c r="I34" s="29"/>
      <c r="J34" s="29" t="s">
        <v>244</v>
      </c>
      <c r="K34" s="29" t="s">
        <v>123</v>
      </c>
    </row>
    <row r="35" customFormat="false" ht="55.5" hidden="false" customHeight="true" outlineLevel="0" collapsed="false">
      <c r="A35" s="21" t="s">
        <v>245</v>
      </c>
      <c r="B35" s="33" t="s">
        <v>94</v>
      </c>
      <c r="C35" s="23" t="s">
        <v>246</v>
      </c>
      <c r="D35" s="24" t="s">
        <v>247</v>
      </c>
      <c r="E35" s="34" t="s">
        <v>192</v>
      </c>
      <c r="F35" s="24" t="n">
        <v>12</v>
      </c>
      <c r="G35" s="24" t="n">
        <v>48</v>
      </c>
      <c r="H35" s="23" t="n">
        <f aca="false">F35+G35</f>
        <v>60</v>
      </c>
      <c r="I35" s="24" t="s">
        <v>199</v>
      </c>
      <c r="J35" s="24" t="s">
        <v>248</v>
      </c>
      <c r="K35" s="24" t="s">
        <v>123</v>
      </c>
    </row>
    <row r="36" customFormat="false" ht="55.5" hidden="false" customHeight="true" outlineLevel="0" collapsed="false">
      <c r="A36" s="26" t="s">
        <v>249</v>
      </c>
      <c r="B36" s="32" t="s">
        <v>94</v>
      </c>
      <c r="C36" s="28" t="s">
        <v>250</v>
      </c>
      <c r="D36" s="29" t="s">
        <v>251</v>
      </c>
      <c r="E36" s="30" t="s">
        <v>121</v>
      </c>
      <c r="F36" s="29" t="n">
        <v>40</v>
      </c>
      <c r="G36" s="29" t="n">
        <v>0</v>
      </c>
      <c r="H36" s="28" t="n">
        <f aca="false">F36+G36</f>
        <v>40</v>
      </c>
      <c r="I36" s="29" t="s">
        <v>224</v>
      </c>
      <c r="J36" s="29" t="s">
        <v>252</v>
      </c>
      <c r="K36" s="29" t="s">
        <v>123</v>
      </c>
    </row>
    <row r="37" customFormat="false" ht="55.5" hidden="false" customHeight="true" outlineLevel="0" collapsed="false">
      <c r="A37" s="21" t="s">
        <v>253</v>
      </c>
      <c r="B37" s="33" t="s">
        <v>94</v>
      </c>
      <c r="C37" s="23" t="s">
        <v>254</v>
      </c>
      <c r="D37" s="24" t="s">
        <v>255</v>
      </c>
      <c r="E37" s="25" t="s">
        <v>121</v>
      </c>
      <c r="F37" s="24" t="n">
        <v>60</v>
      </c>
      <c r="G37" s="24" t="n">
        <v>0</v>
      </c>
      <c r="H37" s="23" t="n">
        <f aca="false">F37+G37</f>
        <v>60</v>
      </c>
      <c r="I37" s="24" t="s">
        <v>249</v>
      </c>
      <c r="J37" s="24" t="s">
        <v>256</v>
      </c>
      <c r="K37" s="24" t="s">
        <v>123</v>
      </c>
    </row>
    <row r="38" customFormat="false" ht="55.5" hidden="false" customHeight="true" outlineLevel="0" collapsed="false">
      <c r="A38" s="26" t="s">
        <v>257</v>
      </c>
      <c r="B38" s="32" t="s">
        <v>100</v>
      </c>
      <c r="C38" s="28" t="s">
        <v>258</v>
      </c>
      <c r="D38" s="29" t="s">
        <v>259</v>
      </c>
      <c r="E38" s="30" t="s">
        <v>121</v>
      </c>
      <c r="F38" s="29" t="n">
        <v>40</v>
      </c>
      <c r="G38" s="29" t="n">
        <v>0</v>
      </c>
      <c r="H38" s="28" t="n">
        <f aca="false">F38+G38</f>
        <v>40</v>
      </c>
      <c r="I38" s="29"/>
      <c r="J38" s="29" t="s">
        <v>260</v>
      </c>
      <c r="K38" s="29" t="s">
        <v>123</v>
      </c>
    </row>
    <row r="39" customFormat="false" ht="55.5" hidden="false" customHeight="true" outlineLevel="0" collapsed="false">
      <c r="A39" s="21" t="s">
        <v>261</v>
      </c>
      <c r="B39" s="33" t="s">
        <v>100</v>
      </c>
      <c r="C39" s="23" t="s">
        <v>262</v>
      </c>
      <c r="D39" s="24" t="s">
        <v>263</v>
      </c>
      <c r="E39" s="34" t="s">
        <v>192</v>
      </c>
      <c r="F39" s="24" t="n">
        <v>30</v>
      </c>
      <c r="G39" s="24" t="n">
        <v>60</v>
      </c>
      <c r="H39" s="23" t="n">
        <f aca="false">F39+G39</f>
        <v>90</v>
      </c>
      <c r="I39" s="24"/>
      <c r="J39" s="24" t="s">
        <v>264</v>
      </c>
      <c r="K39" s="24" t="s">
        <v>123</v>
      </c>
    </row>
    <row r="40" customFormat="false" ht="55.5" hidden="false" customHeight="true" outlineLevel="0" collapsed="false">
      <c r="A40" s="26" t="s">
        <v>265</v>
      </c>
      <c r="B40" s="32" t="s">
        <v>100</v>
      </c>
      <c r="C40" s="28" t="s">
        <v>266</v>
      </c>
      <c r="D40" s="29" t="s">
        <v>267</v>
      </c>
      <c r="E40" s="31" t="s">
        <v>192</v>
      </c>
      <c r="F40" s="29" t="n">
        <v>40</v>
      </c>
      <c r="G40" s="29" t="n">
        <v>60</v>
      </c>
      <c r="H40" s="28" t="n">
        <f aca="false">F40+G40</f>
        <v>100</v>
      </c>
      <c r="I40" s="29"/>
      <c r="J40" s="29" t="s">
        <v>268</v>
      </c>
      <c r="K40" s="29" t="s">
        <v>123</v>
      </c>
    </row>
    <row r="41" customFormat="false" ht="55.5" hidden="false" customHeight="true" outlineLevel="0" collapsed="false">
      <c r="A41" s="21" t="s">
        <v>269</v>
      </c>
      <c r="B41" s="33" t="s">
        <v>100</v>
      </c>
      <c r="C41" s="23" t="s">
        <v>270</v>
      </c>
      <c r="D41" s="24" t="s">
        <v>271</v>
      </c>
      <c r="E41" s="25" t="s">
        <v>121</v>
      </c>
      <c r="F41" s="24" t="n">
        <v>16</v>
      </c>
      <c r="G41" s="24" t="n">
        <v>0</v>
      </c>
      <c r="H41" s="23" t="n">
        <f aca="false">F41+G41</f>
        <v>16</v>
      </c>
      <c r="I41" s="24"/>
      <c r="J41" s="24" t="s">
        <v>272</v>
      </c>
      <c r="K41" s="24" t="s">
        <v>123</v>
      </c>
    </row>
    <row r="43" customFormat="false" ht="15" hidden="false" customHeight="false" outlineLevel="0" collapsed="false">
      <c r="C43" s="35" t="s">
        <v>273</v>
      </c>
      <c r="F43" s="36" t="n">
        <f aca="false">SUM(F5:F41)</f>
        <v>649</v>
      </c>
      <c r="G43" s="36" t="n">
        <f aca="false">SUM(G5:G41)</f>
        <v>448</v>
      </c>
      <c r="H43" s="37" t="n">
        <f aca="false">SUM(H5:H41)</f>
        <v>1097</v>
      </c>
    </row>
    <row r="45" customFormat="false" ht="15" hidden="false" customHeight="false" outlineLevel="0" collapsed="false">
      <c r="C45" s="38" t="s">
        <v>274</v>
      </c>
    </row>
    <row r="46" customFormat="false" ht="15" hidden="false" customHeight="false" outlineLevel="0" collapsed="false">
      <c r="C46" s="39" t="s">
        <v>68</v>
      </c>
      <c r="F46" s="40" t="n">
        <f aca="false">SUMIF($B$5:$B$39,"S0",$F$5:$F$39)</f>
        <v>7</v>
      </c>
      <c r="G46" s="40" t="n">
        <f aca="false">SUMIF($B$5:$B$39,"S0",$G$5:$G$39)</f>
        <v>0</v>
      </c>
      <c r="H46" s="40" t="n">
        <f aca="false">F46+G46</f>
        <v>7</v>
      </c>
    </row>
    <row r="47" customFormat="false" ht="15" hidden="false" customHeight="false" outlineLevel="0" collapsed="false">
      <c r="C47" s="39" t="s">
        <v>75</v>
      </c>
      <c r="F47" s="40" t="n">
        <f aca="false">SUMIF($B$5:$B$40,"S1",$F$5:$F$40)</f>
        <v>78</v>
      </c>
      <c r="G47" s="40" t="n">
        <f aca="false">SUMIF($B$5:$B$40,"S1",$G$5:$G$40)</f>
        <v>72</v>
      </c>
      <c r="H47" s="40" t="n">
        <f aca="false">F47+G47</f>
        <v>150</v>
      </c>
    </row>
    <row r="48" customFormat="false" ht="15" hidden="false" customHeight="false" outlineLevel="0" collapsed="false">
      <c r="C48" s="39" t="s">
        <v>81</v>
      </c>
      <c r="F48" s="40" t="n">
        <f aca="false">SUMIF($B$5:$B$41,"S2",$F$5:$F$41)</f>
        <v>76</v>
      </c>
      <c r="G48" s="40" t="n">
        <f aca="false">SUMIF($B$5:$B$41,"S2",$G$5:$G$41)</f>
        <v>72</v>
      </c>
      <c r="H48" s="40" t="n">
        <f aca="false">F48+G48</f>
        <v>148</v>
      </c>
    </row>
    <row r="49" customFormat="false" ht="15" hidden="false" customHeight="false" outlineLevel="0" collapsed="false">
      <c r="C49" s="41" t="s">
        <v>87</v>
      </c>
      <c r="F49" s="40" t="n">
        <f aca="false">SUMIF($B$5:$B$42,"S3",$F$5:$F$42)</f>
        <v>122</v>
      </c>
      <c r="G49" s="40" t="n">
        <f aca="false">SUMIF($B$5:$B$42,"S3",$G$5:$G$42)</f>
        <v>76</v>
      </c>
      <c r="H49" s="40" t="n">
        <f aca="false">F49+G49</f>
        <v>198</v>
      </c>
    </row>
    <row r="50" customFormat="false" ht="15" hidden="false" customHeight="false" outlineLevel="0" collapsed="false">
      <c r="C50" s="41" t="s">
        <v>94</v>
      </c>
      <c r="F50" s="40" t="n">
        <f aca="false">SUMIF($B$5:$B$43,"S4",$F$5:$F$43)</f>
        <v>240</v>
      </c>
      <c r="G50" s="40" t="n">
        <f aca="false">SUMIF($B$5:$B$43,"S4",$G$5:$G$43)</f>
        <v>108</v>
      </c>
      <c r="H50" s="40" t="n">
        <f aca="false">F50+G50</f>
        <v>348</v>
      </c>
    </row>
    <row r="51" customFormat="false" ht="15" hidden="false" customHeight="false" outlineLevel="0" collapsed="false">
      <c r="C51" s="41" t="s">
        <v>100</v>
      </c>
      <c r="F51" s="40" t="n">
        <f aca="false">SUMIF($B$5:$B$44,"S5+",$F$5:$F$44)</f>
        <v>126</v>
      </c>
      <c r="G51" s="40" t="n">
        <f aca="false">SUMIF($B$5:$B$44,"S5+",$G$5:$G$44)</f>
        <v>120</v>
      </c>
      <c r="H51" s="40" t="n">
        <f aca="false">F51+G51</f>
        <v>246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0" t="s">
        <v>275</v>
      </c>
      <c r="B1" s="10"/>
      <c r="C1" s="10"/>
      <c r="D1" s="10"/>
      <c r="E1" s="10"/>
      <c r="F1" s="10"/>
      <c r="G1" s="10"/>
    </row>
    <row r="2" customFormat="false" ht="21.75" hidden="false" customHeight="true" outlineLevel="0" collapsed="false">
      <c r="A2" s="42" t="s">
        <v>276</v>
      </c>
      <c r="B2" s="42"/>
      <c r="C2" s="42"/>
      <c r="D2" s="42"/>
      <c r="E2" s="42"/>
      <c r="F2" s="42"/>
      <c r="G2" s="42"/>
    </row>
    <row r="4" customFormat="false" ht="36" hidden="false" customHeight="true" outlineLevel="0" collapsed="false">
      <c r="A4" s="12" t="s">
        <v>277</v>
      </c>
      <c r="B4" s="12" t="s">
        <v>59</v>
      </c>
      <c r="C4" s="12" t="s">
        <v>60</v>
      </c>
      <c r="D4" s="12" t="s">
        <v>278</v>
      </c>
      <c r="E4" s="12" t="s">
        <v>279</v>
      </c>
      <c r="F4" s="12" t="s">
        <v>280</v>
      </c>
      <c r="G4" s="12" t="s">
        <v>281</v>
      </c>
    </row>
    <row r="5" customFormat="false" ht="39.75" hidden="false" customHeight="true" outlineLevel="0" collapsed="false">
      <c r="A5" s="43" t="s">
        <v>282</v>
      </c>
      <c r="B5" s="44" t="s">
        <v>68</v>
      </c>
      <c r="C5" s="45" t="s">
        <v>69</v>
      </c>
      <c r="D5" s="46" t="s">
        <v>283</v>
      </c>
      <c r="E5" s="47" t="s">
        <v>284</v>
      </c>
      <c r="F5" s="48" t="s">
        <v>285</v>
      </c>
      <c r="G5" s="44" t="s">
        <v>286</v>
      </c>
    </row>
    <row r="6" customFormat="false" ht="39.75" hidden="false" customHeight="true" outlineLevel="0" collapsed="false">
      <c r="A6" s="49" t="s">
        <v>287</v>
      </c>
      <c r="B6" s="50" t="s">
        <v>68</v>
      </c>
      <c r="C6" s="51" t="s">
        <v>69</v>
      </c>
      <c r="D6" s="52" t="s">
        <v>288</v>
      </c>
      <c r="E6" s="53" t="s">
        <v>289</v>
      </c>
      <c r="F6" s="54" t="s">
        <v>285</v>
      </c>
      <c r="G6" s="50" t="s">
        <v>290</v>
      </c>
    </row>
    <row r="7" customFormat="false" ht="39.75" hidden="false" customHeight="true" outlineLevel="0" collapsed="false">
      <c r="A7" s="43" t="s">
        <v>291</v>
      </c>
      <c r="B7" s="44" t="s">
        <v>75</v>
      </c>
      <c r="C7" s="45" t="s">
        <v>69</v>
      </c>
      <c r="D7" s="46" t="s">
        <v>292</v>
      </c>
      <c r="E7" s="47" t="s">
        <v>293</v>
      </c>
      <c r="F7" s="48" t="s">
        <v>285</v>
      </c>
      <c r="G7" s="44" t="s">
        <v>294</v>
      </c>
    </row>
    <row r="8" customFormat="false" ht="39.75" hidden="false" customHeight="true" outlineLevel="0" collapsed="false">
      <c r="A8" s="49" t="s">
        <v>295</v>
      </c>
      <c r="B8" s="50" t="s">
        <v>75</v>
      </c>
      <c r="C8" s="51" t="s">
        <v>69</v>
      </c>
      <c r="D8" s="52" t="s">
        <v>296</v>
      </c>
      <c r="E8" s="53" t="s">
        <v>297</v>
      </c>
      <c r="F8" s="54" t="s">
        <v>285</v>
      </c>
      <c r="G8" s="50" t="s">
        <v>298</v>
      </c>
    </row>
    <row r="9" customFormat="false" ht="39.75" hidden="false" customHeight="true" outlineLevel="0" collapsed="false">
      <c r="A9" s="43" t="s">
        <v>299</v>
      </c>
      <c r="B9" s="44" t="s">
        <v>75</v>
      </c>
      <c r="C9" s="45" t="s">
        <v>69</v>
      </c>
      <c r="D9" s="46" t="s">
        <v>300</v>
      </c>
      <c r="E9" s="47" t="s">
        <v>301</v>
      </c>
      <c r="F9" s="48" t="s">
        <v>285</v>
      </c>
      <c r="G9" s="44" t="s">
        <v>302</v>
      </c>
    </row>
    <row r="10" customFormat="false" ht="39.75" hidden="false" customHeight="true" outlineLevel="0" collapsed="false">
      <c r="A10" s="49" t="s">
        <v>303</v>
      </c>
      <c r="B10" s="50" t="s">
        <v>75</v>
      </c>
      <c r="C10" s="51" t="s">
        <v>69</v>
      </c>
      <c r="D10" s="52" t="s">
        <v>304</v>
      </c>
      <c r="E10" s="53" t="s">
        <v>305</v>
      </c>
      <c r="F10" s="54" t="s">
        <v>285</v>
      </c>
      <c r="G10" s="50" t="s">
        <v>306</v>
      </c>
    </row>
    <row r="11" customFormat="false" ht="39.75" hidden="false" customHeight="true" outlineLevel="0" collapsed="false">
      <c r="A11" s="55" t="s">
        <v>307</v>
      </c>
      <c r="B11" s="56" t="s">
        <v>81</v>
      </c>
      <c r="C11" s="55" t="s">
        <v>69</v>
      </c>
      <c r="D11" s="55" t="s">
        <v>308</v>
      </c>
      <c r="E11" s="57" t="s">
        <v>309</v>
      </c>
      <c r="F11" s="58" t="s">
        <v>285</v>
      </c>
      <c r="G11" s="56" t="s">
        <v>310</v>
      </c>
    </row>
    <row r="12" customFormat="false" ht="39.75" hidden="false" customHeight="true" outlineLevel="0" collapsed="false">
      <c r="A12" s="49" t="s">
        <v>311</v>
      </c>
      <c r="B12" s="50" t="s">
        <v>81</v>
      </c>
      <c r="C12" s="51" t="s">
        <v>69</v>
      </c>
      <c r="D12" s="52" t="s">
        <v>312</v>
      </c>
      <c r="E12" s="53" t="s">
        <v>313</v>
      </c>
      <c r="F12" s="59" t="s">
        <v>314</v>
      </c>
      <c r="G12" s="50" t="s">
        <v>315</v>
      </c>
    </row>
    <row r="13" customFormat="false" ht="39.75" hidden="false" customHeight="true" outlineLevel="0" collapsed="false">
      <c r="A13" s="43" t="s">
        <v>316</v>
      </c>
      <c r="B13" s="44" t="s">
        <v>81</v>
      </c>
      <c r="C13" s="45" t="s">
        <v>69</v>
      </c>
      <c r="D13" s="46" t="s">
        <v>317</v>
      </c>
      <c r="E13" s="47" t="s">
        <v>318</v>
      </c>
      <c r="F13" s="60" t="s">
        <v>314</v>
      </c>
      <c r="G13" s="44" t="s">
        <v>319</v>
      </c>
    </row>
    <row r="14" customFormat="false" ht="39.75" hidden="false" customHeight="true" outlineLevel="0" collapsed="false">
      <c r="A14" s="49" t="s">
        <v>320</v>
      </c>
      <c r="B14" s="50" t="s">
        <v>81</v>
      </c>
      <c r="C14" s="51" t="s">
        <v>69</v>
      </c>
      <c r="D14" s="52" t="s">
        <v>321</v>
      </c>
      <c r="E14" s="53" t="s">
        <v>322</v>
      </c>
      <c r="F14" s="54" t="s">
        <v>285</v>
      </c>
      <c r="G14" s="50" t="s">
        <v>323</v>
      </c>
    </row>
    <row r="15" customFormat="false" ht="39.75" hidden="false" customHeight="true" outlineLevel="0" collapsed="false">
      <c r="A15" s="43" t="s">
        <v>324</v>
      </c>
      <c r="B15" s="44" t="s">
        <v>87</v>
      </c>
      <c r="C15" s="61" t="s">
        <v>88</v>
      </c>
      <c r="D15" s="46" t="s">
        <v>325</v>
      </c>
      <c r="E15" s="47" t="s">
        <v>326</v>
      </c>
      <c r="F15" s="48" t="s">
        <v>285</v>
      </c>
      <c r="G15" s="44" t="s">
        <v>327</v>
      </c>
    </row>
    <row r="16" customFormat="false" ht="39.75" hidden="false" customHeight="true" outlineLevel="0" collapsed="false">
      <c r="A16" s="49" t="s">
        <v>328</v>
      </c>
      <c r="B16" s="50" t="s">
        <v>87</v>
      </c>
      <c r="C16" s="62" t="s">
        <v>88</v>
      </c>
      <c r="D16" s="52" t="s">
        <v>329</v>
      </c>
      <c r="E16" s="53" t="s">
        <v>330</v>
      </c>
      <c r="F16" s="54" t="s">
        <v>285</v>
      </c>
      <c r="G16" s="50" t="s">
        <v>331</v>
      </c>
    </row>
    <row r="17" customFormat="false" ht="39.75" hidden="false" customHeight="true" outlineLevel="0" collapsed="false">
      <c r="A17" s="43" t="s">
        <v>332</v>
      </c>
      <c r="B17" s="44" t="s">
        <v>87</v>
      </c>
      <c r="C17" s="61" t="s">
        <v>88</v>
      </c>
      <c r="D17" s="46" t="s">
        <v>333</v>
      </c>
      <c r="E17" s="47" t="s">
        <v>334</v>
      </c>
      <c r="F17" s="48" t="s">
        <v>285</v>
      </c>
      <c r="G17" s="44" t="s">
        <v>335</v>
      </c>
    </row>
    <row r="18" customFormat="false" ht="39.75" hidden="false" customHeight="true" outlineLevel="0" collapsed="false">
      <c r="A18" s="49" t="s">
        <v>336</v>
      </c>
      <c r="B18" s="50" t="s">
        <v>87</v>
      </c>
      <c r="C18" s="62" t="s">
        <v>88</v>
      </c>
      <c r="D18" s="52" t="s">
        <v>337</v>
      </c>
      <c r="E18" s="53" t="s">
        <v>338</v>
      </c>
      <c r="F18" s="54" t="s">
        <v>285</v>
      </c>
      <c r="G18" s="50" t="s">
        <v>339</v>
      </c>
    </row>
    <row r="19" customFormat="false" ht="39.75" hidden="false" customHeight="true" outlineLevel="0" collapsed="false">
      <c r="A19" s="43" t="s">
        <v>340</v>
      </c>
      <c r="B19" s="44" t="s">
        <v>94</v>
      </c>
      <c r="C19" s="61" t="s">
        <v>88</v>
      </c>
      <c r="D19" s="46" t="s">
        <v>341</v>
      </c>
      <c r="E19" s="47" t="s">
        <v>342</v>
      </c>
      <c r="F19" s="48" t="s">
        <v>285</v>
      </c>
      <c r="G19" s="44" t="s">
        <v>343</v>
      </c>
    </row>
    <row r="20" customFormat="false" ht="39.75" hidden="false" customHeight="true" outlineLevel="0" collapsed="false">
      <c r="A20" s="49" t="s">
        <v>344</v>
      </c>
      <c r="B20" s="50" t="s">
        <v>94</v>
      </c>
      <c r="C20" s="62" t="s">
        <v>88</v>
      </c>
      <c r="D20" s="52" t="s">
        <v>345</v>
      </c>
      <c r="E20" s="53" t="s">
        <v>346</v>
      </c>
      <c r="F20" s="54" t="s">
        <v>285</v>
      </c>
      <c r="G20" s="50" t="s">
        <v>347</v>
      </c>
    </row>
    <row r="21" customFormat="false" ht="39.75" hidden="false" customHeight="true" outlineLevel="0" collapsed="false">
      <c r="A21" s="43" t="s">
        <v>348</v>
      </c>
      <c r="B21" s="44" t="s">
        <v>94</v>
      </c>
      <c r="C21" s="61" t="s">
        <v>88</v>
      </c>
      <c r="D21" s="46" t="s">
        <v>349</v>
      </c>
      <c r="E21" s="47" t="s">
        <v>350</v>
      </c>
      <c r="F21" s="48" t="s">
        <v>285</v>
      </c>
      <c r="G21" s="44" t="s">
        <v>351</v>
      </c>
    </row>
    <row r="22" customFormat="false" ht="39.75" hidden="false" customHeight="true" outlineLevel="0" collapsed="false">
      <c r="A22" s="49" t="s">
        <v>352</v>
      </c>
      <c r="B22" s="50" t="s">
        <v>94</v>
      </c>
      <c r="C22" s="62" t="s">
        <v>88</v>
      </c>
      <c r="D22" s="52" t="s">
        <v>237</v>
      </c>
      <c r="E22" s="53" t="s">
        <v>353</v>
      </c>
      <c r="F22" s="54" t="s">
        <v>285</v>
      </c>
      <c r="G22" s="50" t="s">
        <v>354</v>
      </c>
    </row>
    <row r="23" customFormat="false" ht="39.75" hidden="false" customHeight="true" outlineLevel="0" collapsed="false">
      <c r="A23" s="43" t="s">
        <v>355</v>
      </c>
      <c r="B23" s="44" t="s">
        <v>94</v>
      </c>
      <c r="C23" s="61" t="s">
        <v>88</v>
      </c>
      <c r="D23" s="46" t="s">
        <v>356</v>
      </c>
      <c r="E23" s="47" t="s">
        <v>357</v>
      </c>
      <c r="F23" s="63" t="s">
        <v>356</v>
      </c>
      <c r="G23" s="44" t="s">
        <v>358</v>
      </c>
    </row>
    <row r="24" customFormat="false" ht="39.75" hidden="false" customHeight="true" outlineLevel="0" collapsed="false">
      <c r="A24" s="49" t="s">
        <v>359</v>
      </c>
      <c r="B24" s="50" t="s">
        <v>100</v>
      </c>
      <c r="C24" s="62" t="s">
        <v>88</v>
      </c>
      <c r="D24" s="52" t="s">
        <v>360</v>
      </c>
      <c r="E24" s="53" t="s">
        <v>361</v>
      </c>
      <c r="F24" s="54" t="s">
        <v>285</v>
      </c>
      <c r="G24" s="50"/>
    </row>
    <row r="25" customFormat="false" ht="39.75" hidden="false" customHeight="true" outlineLevel="0" collapsed="false">
      <c r="A25" s="43" t="s">
        <v>362</v>
      </c>
      <c r="B25" s="44" t="s">
        <v>100</v>
      </c>
      <c r="C25" s="61" t="s">
        <v>88</v>
      </c>
      <c r="D25" s="46" t="s">
        <v>363</v>
      </c>
      <c r="E25" s="47" t="s">
        <v>364</v>
      </c>
      <c r="F25" s="48" t="s">
        <v>285</v>
      </c>
      <c r="G25" s="44"/>
    </row>
    <row r="26" customFormat="false" ht="39.75" hidden="false" customHeight="true" outlineLevel="0" collapsed="false">
      <c r="A26" s="49" t="s">
        <v>365</v>
      </c>
      <c r="B26" s="50" t="s">
        <v>100</v>
      </c>
      <c r="C26" s="62" t="s">
        <v>88</v>
      </c>
      <c r="D26" s="52" t="s">
        <v>366</v>
      </c>
      <c r="E26" s="53" t="s">
        <v>367</v>
      </c>
      <c r="F26" s="59" t="s">
        <v>314</v>
      </c>
      <c r="G26" s="50" t="s">
        <v>368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24" hidden="false" customHeight="true" outlineLevel="0" collapsed="false">
      <c r="A1" s="10" t="s">
        <v>369</v>
      </c>
      <c r="B1" s="10"/>
      <c r="C1" s="10"/>
      <c r="D1" s="10"/>
      <c r="E1" s="10"/>
      <c r="F1" s="10"/>
      <c r="G1" s="10"/>
      <c r="H1" s="10"/>
    </row>
    <row r="2" customFormat="false" ht="31.5" hidden="false" customHeight="true" outlineLevel="0" collapsed="false">
      <c r="A2" s="11" t="s">
        <v>370</v>
      </c>
      <c r="B2" s="11"/>
      <c r="C2" s="11"/>
      <c r="D2" s="11"/>
      <c r="E2" s="11"/>
      <c r="F2" s="11"/>
      <c r="G2" s="11"/>
      <c r="H2" s="11"/>
    </row>
    <row r="4" customFormat="false" ht="36" hidden="false" customHeight="true" outlineLevel="0" collapsed="false">
      <c r="A4" s="12" t="s">
        <v>371</v>
      </c>
      <c r="B4" s="12" t="s">
        <v>60</v>
      </c>
      <c r="C4" s="12" t="s">
        <v>372</v>
      </c>
      <c r="D4" s="12" t="s">
        <v>373</v>
      </c>
      <c r="E4" s="12" t="s">
        <v>374</v>
      </c>
      <c r="F4" s="12" t="s">
        <v>375</v>
      </c>
      <c r="G4" s="12" t="s">
        <v>376</v>
      </c>
      <c r="H4" s="12" t="s">
        <v>377</v>
      </c>
    </row>
    <row r="5" customFormat="false" ht="60" hidden="false" customHeight="true" outlineLevel="0" collapsed="false">
      <c r="A5" s="43" t="s">
        <v>378</v>
      </c>
      <c r="B5" s="45" t="s">
        <v>69</v>
      </c>
      <c r="C5" s="46" t="s">
        <v>379</v>
      </c>
      <c r="D5" s="44" t="s">
        <v>380</v>
      </c>
      <c r="E5" s="63" t="s">
        <v>381</v>
      </c>
      <c r="F5" s="64" t="s">
        <v>382</v>
      </c>
      <c r="G5" s="46" t="n">
        <f aca="false">IF(E5="HIGH",3,IF(E5="MEDIUM",2,1))*IF(F5="HIGH",3,IF(F5="MEDIUM",2,1))</f>
        <v>6</v>
      </c>
      <c r="H5" s="44" t="s">
        <v>383</v>
      </c>
    </row>
    <row r="6" customFormat="false" ht="60" hidden="false" customHeight="true" outlineLevel="0" collapsed="false">
      <c r="A6" s="49" t="s">
        <v>384</v>
      </c>
      <c r="B6" s="51" t="s">
        <v>385</v>
      </c>
      <c r="C6" s="52" t="s">
        <v>386</v>
      </c>
      <c r="D6" s="50" t="s">
        <v>387</v>
      </c>
      <c r="E6" s="65" t="s">
        <v>382</v>
      </c>
      <c r="F6" s="65" t="s">
        <v>382</v>
      </c>
      <c r="G6" s="52" t="n">
        <f aca="false">IF(E6="HIGH",3,IF(E6="MEDIUM",2,1))*IF(F6="HIGH",3,IF(F6="MEDIUM",2,1))</f>
        <v>4</v>
      </c>
      <c r="H6" s="50" t="s">
        <v>388</v>
      </c>
    </row>
    <row r="7" customFormat="false" ht="60" hidden="false" customHeight="true" outlineLevel="0" collapsed="false">
      <c r="A7" s="43" t="s">
        <v>389</v>
      </c>
      <c r="B7" s="45" t="s">
        <v>69</v>
      </c>
      <c r="C7" s="46" t="s">
        <v>390</v>
      </c>
      <c r="D7" s="44" t="s">
        <v>391</v>
      </c>
      <c r="E7" s="64" t="s">
        <v>382</v>
      </c>
      <c r="F7" s="64" t="s">
        <v>382</v>
      </c>
      <c r="G7" s="46" t="n">
        <f aca="false">IF(E7="HIGH",3,IF(E7="MEDIUM",2,1))*IF(F7="HIGH",3,IF(F7="MEDIUM",2,1))</f>
        <v>4</v>
      </c>
      <c r="H7" s="44" t="s">
        <v>392</v>
      </c>
    </row>
    <row r="8" customFormat="false" ht="60" hidden="false" customHeight="true" outlineLevel="0" collapsed="false">
      <c r="A8" s="49" t="s">
        <v>393</v>
      </c>
      <c r="B8" s="51" t="s">
        <v>69</v>
      </c>
      <c r="C8" s="52" t="s">
        <v>394</v>
      </c>
      <c r="D8" s="50" t="s">
        <v>395</v>
      </c>
      <c r="E8" s="66" t="s">
        <v>381</v>
      </c>
      <c r="F8" s="59" t="s">
        <v>396</v>
      </c>
      <c r="G8" s="52" t="n">
        <f aca="false">IF(E8="HIGH",3,IF(E8="MEDIUM",2,1))*IF(F8="HIGH",3,IF(F8="MEDIUM",2,1))</f>
        <v>3</v>
      </c>
      <c r="H8" s="50" t="s">
        <v>397</v>
      </c>
    </row>
    <row r="9" customFormat="false" ht="60" hidden="false" customHeight="true" outlineLevel="0" collapsed="false">
      <c r="A9" s="43" t="s">
        <v>398</v>
      </c>
      <c r="B9" s="61" t="s">
        <v>88</v>
      </c>
      <c r="C9" s="46" t="s">
        <v>399</v>
      </c>
      <c r="D9" s="44" t="s">
        <v>400</v>
      </c>
      <c r="E9" s="64" t="s">
        <v>382</v>
      </c>
      <c r="F9" s="64" t="s">
        <v>382</v>
      </c>
      <c r="G9" s="46" t="n">
        <f aca="false">IF(E9="HIGH",3,IF(E9="MEDIUM",2,1))*IF(F9="HIGH",3,IF(F9="MEDIUM",2,1))</f>
        <v>4</v>
      </c>
      <c r="H9" s="44" t="s">
        <v>401</v>
      </c>
    </row>
    <row r="10" customFormat="false" ht="60" hidden="false" customHeight="true" outlineLevel="0" collapsed="false">
      <c r="A10" s="49" t="s">
        <v>402</v>
      </c>
      <c r="B10" s="62" t="s">
        <v>88</v>
      </c>
      <c r="C10" s="52" t="s">
        <v>399</v>
      </c>
      <c r="D10" s="50" t="s">
        <v>403</v>
      </c>
      <c r="E10" s="66" t="s">
        <v>381</v>
      </c>
      <c r="F10" s="65" t="s">
        <v>382</v>
      </c>
      <c r="G10" s="52" t="n">
        <f aca="false">IF(E10="HIGH",3,IF(E10="MEDIUM",2,1))*IF(F10="HIGH",3,IF(F10="MEDIUM",2,1))</f>
        <v>6</v>
      </c>
      <c r="H10" s="50" t="s">
        <v>404</v>
      </c>
    </row>
    <row r="11" customFormat="false" ht="60" hidden="false" customHeight="true" outlineLevel="0" collapsed="false">
      <c r="A11" s="43" t="s">
        <v>405</v>
      </c>
      <c r="B11" s="61" t="s">
        <v>88</v>
      </c>
      <c r="C11" s="46" t="s">
        <v>386</v>
      </c>
      <c r="D11" s="44" t="s">
        <v>406</v>
      </c>
      <c r="E11" s="64" t="s">
        <v>382</v>
      </c>
      <c r="F11" s="64" t="s">
        <v>382</v>
      </c>
      <c r="G11" s="46" t="n">
        <f aca="false">IF(E11="HIGH",3,IF(E11="MEDIUM",2,1))*IF(F11="HIGH",3,IF(F11="MEDIUM",2,1))</f>
        <v>4</v>
      </c>
      <c r="H11" s="44" t="s">
        <v>407</v>
      </c>
    </row>
    <row r="12" customFormat="false" ht="60" hidden="false" customHeight="true" outlineLevel="0" collapsed="false">
      <c r="A12" s="49" t="s">
        <v>408</v>
      </c>
      <c r="B12" s="51" t="s">
        <v>385</v>
      </c>
      <c r="C12" s="52" t="s">
        <v>390</v>
      </c>
      <c r="D12" s="50" t="s">
        <v>409</v>
      </c>
      <c r="E12" s="66" t="s">
        <v>381</v>
      </c>
      <c r="F12" s="65" t="s">
        <v>382</v>
      </c>
      <c r="G12" s="52" t="n">
        <f aca="false">IF(E12="HIGH",3,IF(E12="MEDIUM",2,1))*IF(F12="HIGH",3,IF(F12="MEDIUM",2,1))</f>
        <v>6</v>
      </c>
      <c r="H12" s="50" t="s">
        <v>410</v>
      </c>
    </row>
    <row r="13" customFormat="false" ht="60" hidden="false" customHeight="true" outlineLevel="0" collapsed="false">
      <c r="A13" s="43" t="s">
        <v>411</v>
      </c>
      <c r="B13" s="61" t="s">
        <v>88</v>
      </c>
      <c r="C13" s="46" t="s">
        <v>390</v>
      </c>
      <c r="D13" s="44" t="s">
        <v>412</v>
      </c>
      <c r="E13" s="64" t="s">
        <v>382</v>
      </c>
      <c r="F13" s="60" t="s">
        <v>396</v>
      </c>
      <c r="G13" s="46" t="n">
        <f aca="false">IF(E13="HIGH",3,IF(E13="MEDIUM",2,1))*IF(F13="HIGH",3,IF(F13="MEDIUM",2,1))</f>
        <v>2</v>
      </c>
      <c r="H13" s="44" t="s">
        <v>413</v>
      </c>
    </row>
    <row r="14" customFormat="false" ht="60" hidden="false" customHeight="true" outlineLevel="0" collapsed="false">
      <c r="A14" s="49" t="s">
        <v>414</v>
      </c>
      <c r="B14" s="62" t="s">
        <v>88</v>
      </c>
      <c r="C14" s="52" t="s">
        <v>415</v>
      </c>
      <c r="D14" s="50" t="s">
        <v>416</v>
      </c>
      <c r="E14" s="65" t="s">
        <v>382</v>
      </c>
      <c r="F14" s="65" t="s">
        <v>382</v>
      </c>
      <c r="G14" s="52" t="n">
        <f aca="false">IF(E14="HIGH",3,IF(E14="MEDIUM",2,1))*IF(F14="HIGH",3,IF(F14="MEDIUM",2,1))</f>
        <v>4</v>
      </c>
      <c r="H14" s="50" t="s">
        <v>417</v>
      </c>
    </row>
    <row r="15" customFormat="false" ht="60" hidden="false" customHeight="true" outlineLevel="0" collapsed="false">
      <c r="A15" s="43" t="s">
        <v>418</v>
      </c>
      <c r="B15" s="45" t="s">
        <v>385</v>
      </c>
      <c r="C15" s="46" t="s">
        <v>419</v>
      </c>
      <c r="D15" s="44" t="s">
        <v>420</v>
      </c>
      <c r="E15" s="64" t="s">
        <v>382</v>
      </c>
      <c r="F15" s="64" t="s">
        <v>382</v>
      </c>
      <c r="G15" s="46" t="n">
        <f aca="false">IF(E15="HIGH",3,IF(E15="MEDIUM",2,1))*IF(F15="HIGH",3,IF(F15="MEDIUM",2,1))</f>
        <v>4</v>
      </c>
      <c r="H15" s="44" t="s">
        <v>421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2026-05-25T11:57:54Z</dcterms:created>
  <dc:creator>openpyxl</dc:creator>
  <dc:description/>
  <dc:language>en-US</dc:language>
  <cp:lastModifiedBy/>
  <dcterms:modified xsi:type="dcterms:W3CDTF">2026-05-25T11:57:54Z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